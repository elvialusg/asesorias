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tables/table3.xml" ContentType="application/vnd.openxmlformats-officedocument.spreadsheetml.table+xml"/>
  <Override PartName="/xl/webextensions/webextension1.xml" ContentType="application/vnd.ms-office.webextension+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2.xml" ContentType="application/vnd.ms-office.webextensi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microsoft.com/office/2011/relationships/webextensiontaskpanes" Target="xl/webextensions/taskpanes.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03" codeName="{00000000-0000-0000-0000-000000000000}"/>
  <workbookPr codeName="ThisWorkbook" hidePivotFieldList="1"/>
  <mc:AlternateContent xmlns:mc="http://schemas.openxmlformats.org/markup-compatibility/2006">
    <mc:Choice Requires="x15">
      <x15ac:absPath xmlns:x15ac="http://schemas.microsoft.com/office/spreadsheetml/2010/11/ac" url="https://umanizaleseduco-my.sharepoint.com/personal/biblio_data_umanizales_edu_co/Documents/PLAN_PLANTILLAS_INDICADORES_BIBLIOTECA/"/>
    </mc:Choice>
  </mc:AlternateContent>
  <xr:revisionPtr revIDLastSave="577" documentId="14_{9203BC16-F7C4-4AE8-A402-71466A3B6E46}" xr6:coauthVersionLast="47" xr6:coauthVersionMax="47" xr10:uidLastSave="{2D1CD625-22BE-421B-AB94-F5B111D5CD78}"/>
  <bookViews>
    <workbookView xWindow="-120" yWindow="-120" windowWidth="29040" windowHeight="15840" firstSheet="4" activeTab="4" xr2:uid="{E3ED00BE-DAB9-4862-8C0F-6A8E84452DD8}"/>
  </bookViews>
  <sheets>
    <sheet name="Tablero indicadores" sheetId="6" r:id="rId1"/>
    <sheet name="Data_Facultades" sheetId="3" r:id="rId2"/>
    <sheet name="Data_Programas" sheetId="4" state="hidden" r:id="rId3"/>
    <sheet name="Insumo_Análisis_Indicadores" sheetId="7" state="hidden" r:id="rId4"/>
    <sheet name="Registro asesorías" sheetId="2" r:id="rId5"/>
    <sheet name="Insumo_Listas_Desplegables" sheetId="1" r:id="rId6"/>
  </sheets>
  <definedNames>
    <definedName name="AprobadosPyS">Insumo_Listas_Desplegables!$N:$N</definedName>
    <definedName name="Data_Facultades">Tabla1[#All]</definedName>
    <definedName name="Data_Programas">Tabla2[#All]</definedName>
    <definedName name="Facultad_Ciencias_Contables_Económicas_Administrativas">Tabla4[[#All],[Facultad_Ciencias_Contables_Económicas_Administrativas]]</definedName>
    <definedName name="Facultad_Ciencias_Ingenierías">Tabla4[[#All],[Facultad_Ciencias_Ingenierías]]</definedName>
    <definedName name="Facultad_Ciencias_Jurídicas">Tabla4[[#All],[Facultad_Ciencias_Jurídicas]]</definedName>
    <definedName name="Facultad_Ciencias_Salud">Tabla4[[#All],[Facultad_Ciencias_Salud]]</definedName>
    <definedName name="Facultad_Ciencias_Sociales_Humanas">Tabla4[[#All],[Facultad_Ciencias_Sociales_Humanas]]</definedName>
    <definedName name="lista_Desplegable_Programas">Tabla4[#All]</definedName>
    <definedName name="Lista_Programas">Tabla4[]</definedName>
    <definedName name="Modalidad_Asesoría">Tabla6[[#All],[Modalidad_Asesoría]]</definedName>
    <definedName name="Registro_Asesorías">'Registro asesorías'!$1:$1048576</definedName>
    <definedName name="Registros">Tabla3[#All]</definedName>
    <definedName name="Revision_Inicial">Insumo_Listas_Desplegables!$R$1:$R$4</definedName>
    <definedName name="SegmentaciónDeDatos_Fecha">#N/A</definedName>
    <definedName name="SegmentaciónDeDatos_Modalidad_Asesoría">#N/A</definedName>
    <definedName name="SegmentaciónDeDatos_Nombre_Asesoría">#N/A</definedName>
    <definedName name="SegmentaciónDeDatos_Nombre_Facultad">#N/A</definedName>
    <definedName name="Temas">#REF!</definedName>
  </definedNames>
  <calcPr calcId="191028"/>
  <pivotCaches>
    <pivotCache cacheId="4024" r:id="rId7"/>
    <pivotCache cacheId="4025"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7" l="1"/>
  <c r="H3" i="7" a="1"/>
  <c r="C3" i="7" a="1"/>
  <c r="K3" i="7" a="1"/>
  <c r="L10" i="7" s="1" a="1"/>
  <c r="L10" i="7" s="1"/>
  <c r="N3" i="7" a="1"/>
  <c r="O7" i="7" l="1" a="1"/>
  <c r="O7" i="7" s="1"/>
  <c r="O8" i="7" a="1"/>
  <c r="O8" i="7" s="1"/>
  <c r="N3" i="7"/>
  <c r="O3" i="7" s="1" a="1"/>
  <c r="O3" i="7" s="1"/>
  <c r="O6" i="7" a="1"/>
  <c r="O6" i="7" s="1"/>
  <c r="O5" i="7" a="1"/>
  <c r="O5" i="7" s="1"/>
  <c r="O4" i="7" a="1"/>
  <c r="O4" i="7" s="1"/>
  <c r="K3" i="7"/>
  <c r="L3" i="7" s="1" a="1"/>
  <c r="L3" i="7" s="1"/>
  <c r="L9" i="7" a="1"/>
  <c r="L9" i="7" s="1"/>
  <c r="L8" i="7" a="1"/>
  <c r="L8" i="7" s="1"/>
  <c r="L7" i="7" a="1"/>
  <c r="L7" i="7" s="1"/>
  <c r="L6" i="7" a="1"/>
  <c r="L6" i="7" s="1"/>
  <c r="L5" i="7" a="1"/>
  <c r="L5" i="7" s="1"/>
  <c r="L4" i="7" a="1"/>
  <c r="L4" i="7" s="1"/>
  <c r="C3" i="7"/>
  <c r="D3" i="7" s="1" a="1"/>
  <c r="D3" i="7" s="1"/>
  <c r="D21" i="7" a="1"/>
  <c r="D21" i="7" s="1"/>
  <c r="D20" i="7" a="1"/>
  <c r="D20" i="7" s="1"/>
  <c r="D19" i="7" a="1"/>
  <c r="D19" i="7" s="1"/>
  <c r="D18" i="7" a="1"/>
  <c r="D18" i="7" s="1"/>
  <c r="D17" i="7" a="1"/>
  <c r="D17" i="7" s="1"/>
  <c r="D16" i="7" a="1"/>
  <c r="D16" i="7" s="1"/>
  <c r="D15" i="7" a="1"/>
  <c r="D15" i="7" s="1"/>
  <c r="D14" i="7" a="1"/>
  <c r="D14" i="7" s="1"/>
  <c r="D13" i="7" a="1"/>
  <c r="D13" i="7" s="1"/>
  <c r="D12" i="7" a="1"/>
  <c r="D12" i="7" s="1"/>
  <c r="D11" i="7" a="1"/>
  <c r="D11" i="7" s="1"/>
  <c r="D10" i="7" a="1"/>
  <c r="D10" i="7" s="1"/>
  <c r="D9" i="7" a="1"/>
  <c r="D9" i="7" s="1"/>
  <c r="D8" i="7" a="1"/>
  <c r="D8" i="7" s="1"/>
  <c r="D7" i="7" a="1"/>
  <c r="D7" i="7" s="1"/>
  <c r="D6" i="7" a="1"/>
  <c r="D6" i="7" s="1"/>
  <c r="D5" i="7" a="1"/>
  <c r="D5" i="7" s="1"/>
  <c r="D4" i="7" a="1"/>
  <c r="D4" i="7" s="1"/>
  <c r="H3" i="7"/>
  <c r="I3" i="7" s="1" a="1"/>
  <c r="I3" i="7" s="1"/>
  <c r="I8" i="7" a="1"/>
  <c r="I8" i="7" s="1"/>
  <c r="I7" i="7" a="1"/>
  <c r="I7" i="7" s="1"/>
  <c r="I6" i="7" a="1"/>
  <c r="I6" i="7" s="1"/>
  <c r="I5" i="7" a="1"/>
  <c r="I5" i="7" s="1"/>
  <c r="I4" i="7" a="1"/>
  <c r="I4" i="7"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<sst xmlns="http://schemas.openxmlformats.org/spreadsheetml/2006/main" count="2814" uniqueCount="871">
  <si>
    <t>Número Asesoría por Asesor Académico</t>
  </si>
  <si>
    <t>Número de Asesorías por Programa</t>
  </si>
  <si>
    <t>Programa</t>
  </si>
  <si>
    <t>Cuenta de Nombre_Asesoría</t>
  </si>
  <si>
    <t>Asesor Académico</t>
  </si>
  <si>
    <t>Doctorado en Derecho</t>
  </si>
  <si>
    <t>Diego Alejandro Soto</t>
  </si>
  <si>
    <t>Especialización en Sistemas de Información Geográfica</t>
  </si>
  <si>
    <t>Juan Pablo Charry</t>
  </si>
  <si>
    <t>Maestría en Derecho</t>
  </si>
  <si>
    <t>Luz Andrea Sepúlveda</t>
  </si>
  <si>
    <t>Maestría en Educación y Transformación Digital</t>
  </si>
  <si>
    <t>Marcela Cerón</t>
  </si>
  <si>
    <t>Maestría en Gerencia del Talento Humano</t>
  </si>
  <si>
    <t>(en blanco)</t>
  </si>
  <si>
    <t>Maestría en Gestión Estratégica de la Información</t>
  </si>
  <si>
    <t>Harold Estiven García</t>
  </si>
  <si>
    <t>Maestría en Ciencias Forenses</t>
  </si>
  <si>
    <t>Total general</t>
  </si>
  <si>
    <t>Maestría en Desarrollo Infantil</t>
  </si>
  <si>
    <t>Maestría en Tributación</t>
  </si>
  <si>
    <t>Doctorado en Desarrollo Sostenible</t>
  </si>
  <si>
    <t>Maestría en Educación</t>
  </si>
  <si>
    <t>Maestría en Educación desde la Diversidad</t>
  </si>
  <si>
    <t>Maestría en Mercadeo</t>
  </si>
  <si>
    <t>Maestría en Desarrollo Sostenible y Medio Ambiente - Virtual</t>
  </si>
  <si>
    <t>Ingeniería de Sistemas y Telecomunicaciones</t>
  </si>
  <si>
    <t>Doctorado en Ciencias Sociales, Niñez y Juventud</t>
  </si>
  <si>
    <t>Maestría  en Tributación</t>
  </si>
  <si>
    <t>Magíster en Economía</t>
  </si>
  <si>
    <t>Especialización en Telecomunicaciones</t>
  </si>
  <si>
    <t>Maestría en Economía</t>
  </si>
  <si>
    <t>Contaduría Pública</t>
  </si>
  <si>
    <t>Maestría en Psicología Clínica</t>
  </si>
  <si>
    <t xml:space="preserve">Maestría en Educación y Desarrollo Humano </t>
  </si>
  <si>
    <t>Magister en Educación</t>
  </si>
  <si>
    <t>Maestría en Finanzas</t>
  </si>
  <si>
    <t>Mercadeo Nacional e Internacional</t>
  </si>
  <si>
    <t>Maestría en Desarrollo Sostenible y Medio Ambiente</t>
  </si>
  <si>
    <t>Especialización en Gerencia del Talento Humano</t>
  </si>
  <si>
    <t>Maestría en Bioinformática y Biología Computacional</t>
  </si>
  <si>
    <t>Ingeniería Logística</t>
  </si>
  <si>
    <t>Finanzas y Negocios Internacionales (Virtual)</t>
  </si>
  <si>
    <t>Codigo_Facultad</t>
  </si>
  <si>
    <t>Nombre_Facultad</t>
  </si>
  <si>
    <t>Facultad de Ciencias Contables, Económicas y Administrativas</t>
  </si>
  <si>
    <t>Facultad de Ciencias de la Salud</t>
  </si>
  <si>
    <t>Facultad de Ciencias e Ingenierías</t>
  </si>
  <si>
    <t>Facultad de Ciencias Jurídicas</t>
  </si>
  <si>
    <t>Facultad  de Ciencias Sociales Y Humanas</t>
  </si>
  <si>
    <t>Otro</t>
  </si>
  <si>
    <t>Código_Facultad</t>
  </si>
  <si>
    <t>Código_Programa</t>
  </si>
  <si>
    <t>Nombre_Programa</t>
  </si>
  <si>
    <t>Administración de Empresas</t>
  </si>
  <si>
    <t>Administración de Empresas (Virtual)</t>
  </si>
  <si>
    <t>Administración en Gestión Documental y Archivística</t>
  </si>
  <si>
    <t>Contaduría Pública (Virtual)</t>
  </si>
  <si>
    <t>DC3</t>
  </si>
  <si>
    <t>Doctorado en Administración</t>
  </si>
  <si>
    <t>DC1</t>
  </si>
  <si>
    <t>Economía</t>
  </si>
  <si>
    <t>Economía (Virtual)</t>
  </si>
  <si>
    <t>E3</t>
  </si>
  <si>
    <t>Especialización en Comportamiento del Consumidor</t>
  </si>
  <si>
    <t>Especialización en Contabilidad Pública</t>
  </si>
  <si>
    <t>Especialización en Gerencia de Mercadeo y Ventas</t>
  </si>
  <si>
    <t>E14</t>
  </si>
  <si>
    <t>Especialización en Gerencia de Mercadeo y Ventas (Reg. Único)</t>
  </si>
  <si>
    <t>E4</t>
  </si>
  <si>
    <t>Especialización en Gestión de Estándares Internacionales de Información Financiera</t>
  </si>
  <si>
    <t>E11</t>
  </si>
  <si>
    <t>Especialización en Gestión de la Innovación</t>
  </si>
  <si>
    <t>Especialización en Revisoría Fiscal</t>
  </si>
  <si>
    <t>E10</t>
  </si>
  <si>
    <t>Especialización en Sistemas Integrados de Gestión</t>
  </si>
  <si>
    <t>Gestión Ambiental</t>
  </si>
  <si>
    <t>MV1</t>
  </si>
  <si>
    <t>M18</t>
  </si>
  <si>
    <t>Maestría en Ecología Política</t>
  </si>
  <si>
    <t>M14</t>
  </si>
  <si>
    <t>M4</t>
  </si>
  <si>
    <t>M101</t>
  </si>
  <si>
    <t>Mercadeo (Virtual)</t>
  </si>
  <si>
    <t>Mercadeo Nacional e Internacional (Virtual)</t>
  </si>
  <si>
    <t>PD1</t>
  </si>
  <si>
    <t>Posdoctorado en Ciencias de la Tierra y el Medio Ambiente</t>
  </si>
  <si>
    <t>T15</t>
  </si>
  <si>
    <t>Técnica Profesional en Archivística</t>
  </si>
  <si>
    <t>T7</t>
  </si>
  <si>
    <t>Técnica Profesional en Atención al Cliente</t>
  </si>
  <si>
    <t>T3</t>
  </si>
  <si>
    <t>Técnica Profesional en Producción Pecuaria</t>
  </si>
  <si>
    <t>T1</t>
  </si>
  <si>
    <t>Técnico Profesional en Atención a Usuarios de Salud</t>
  </si>
  <si>
    <t>T10</t>
  </si>
  <si>
    <t>Técnico Profesional en Gestión Comercial del Sector Agropecuario</t>
  </si>
  <si>
    <t>T6</t>
  </si>
  <si>
    <t>Tecnología en Desarrollo Pecuario</t>
  </si>
  <si>
    <t>T8</t>
  </si>
  <si>
    <t>Tecnología en Gestión Comercial</t>
  </si>
  <si>
    <t>T2</t>
  </si>
  <si>
    <t>Tecnología en Gestión Comercial de Servicios de Salud</t>
  </si>
  <si>
    <t>T16</t>
  </si>
  <si>
    <t>Tecnología en Gestión Documental e Información</t>
  </si>
  <si>
    <t>T14</t>
  </si>
  <si>
    <t>Tecnología en Mercadotecnia Agropecuaria</t>
  </si>
  <si>
    <t>E7</t>
  </si>
  <si>
    <t>Especialización en Medicina Crítica y Cuidados Intensivos</t>
  </si>
  <si>
    <t>E16</t>
  </si>
  <si>
    <t>Especialización en Medicina Interna</t>
  </si>
  <si>
    <t>E18</t>
  </si>
  <si>
    <t>Especialización en Psiquiatria</t>
  </si>
  <si>
    <t>Medicina</t>
  </si>
  <si>
    <t>Premédico</t>
  </si>
  <si>
    <t>E0</t>
  </si>
  <si>
    <t>Especialización Tecnológica en Redes</t>
  </si>
  <si>
    <t>Ingeniería de Sistemas (Virtual)</t>
  </si>
  <si>
    <t>Ingeniería en Analítica de Datos</t>
  </si>
  <si>
    <t>Ingeniería en Analítica de Datos (Virtual)</t>
  </si>
  <si>
    <t>Ingeniería en Seguridad de la Información</t>
  </si>
  <si>
    <t>Ingeniería en Seguridad de la Información (Virtual)</t>
  </si>
  <si>
    <t>Ingeniería Industrial (Virtual)</t>
  </si>
  <si>
    <t>Ingeniería Logística (Virtual)</t>
  </si>
  <si>
    <t>M9</t>
  </si>
  <si>
    <t>M15</t>
  </si>
  <si>
    <t>MG1</t>
  </si>
  <si>
    <t>MI1</t>
  </si>
  <si>
    <t>Maestría en Seguridad de la Información</t>
  </si>
  <si>
    <t>M8</t>
  </si>
  <si>
    <t>Maestría en Tecnologías de la Información Geográfica</t>
  </si>
  <si>
    <t>T4</t>
  </si>
  <si>
    <t>Técnica Profesional en Configuración de Servicios Comerciales Web</t>
  </si>
  <si>
    <t>T12</t>
  </si>
  <si>
    <t>Técnica Profesional en Configuración de Servicios para Comercio Electrónico</t>
  </si>
  <si>
    <t>T11</t>
  </si>
  <si>
    <t>Técnico Laboral en Asistencia y Soporte de Tecnologías de la Información</t>
  </si>
  <si>
    <t>T13</t>
  </si>
  <si>
    <t>Tecnología en Desarrollo de Software para Negocios Digitales</t>
  </si>
  <si>
    <t>T5</t>
  </si>
  <si>
    <t>Tecnología en Sistemas de Información Comerciales para Internet</t>
  </si>
  <si>
    <t>Tecnología Informática</t>
  </si>
  <si>
    <t>Derecho</t>
  </si>
  <si>
    <t>DC4</t>
  </si>
  <si>
    <t>E8</t>
  </si>
  <si>
    <t>Especialización en Contratación Pública</t>
  </si>
  <si>
    <t>E13</t>
  </si>
  <si>
    <t>Especialización en Derecho Constitucional y de los Derechos Humanos</t>
  </si>
  <si>
    <t>E17</t>
  </si>
  <si>
    <t>Especialización en Resolución de Conflictos, Conciliación y Paz</t>
  </si>
  <si>
    <t>Especialización en Seguridad Social</t>
  </si>
  <si>
    <t>E6</t>
  </si>
  <si>
    <t>Especialización en Sistema Procesal Penal</t>
  </si>
  <si>
    <t>M11</t>
  </si>
  <si>
    <t>M19</t>
  </si>
  <si>
    <t>Maestría en Ciencias Forenses y Sistema Penal</t>
  </si>
  <si>
    <t>M0</t>
  </si>
  <si>
    <t>M16</t>
  </si>
  <si>
    <t>Maestría en Derecho Constitucional y Política Legislativa</t>
  </si>
  <si>
    <t>DC5</t>
  </si>
  <si>
    <t>Doctorado en Psicología</t>
  </si>
  <si>
    <t>DC2</t>
  </si>
  <si>
    <t>Doctorado Formación en Diversidad</t>
  </si>
  <si>
    <t>E2</t>
  </si>
  <si>
    <t>Especialización en Comunicación Organizacional</t>
  </si>
  <si>
    <t>E15</t>
  </si>
  <si>
    <t>Especialización en Estudios Interdisciplinarios en Duelos</t>
  </si>
  <si>
    <t>E12</t>
  </si>
  <si>
    <t>Especialización en Gerencia de la Comunicación Digital</t>
  </si>
  <si>
    <t>E9</t>
  </si>
  <si>
    <t>Especialización en Gerencia de la Seguridad y Salud en el Trabajo</t>
  </si>
  <si>
    <t>Especialización en Neuropsicopedagogía</t>
  </si>
  <si>
    <t>E1</t>
  </si>
  <si>
    <t>Especialización en Psicoterapia y Consultoría Sistémica</t>
  </si>
  <si>
    <t>LF</t>
  </si>
  <si>
    <t>Licenciatura en Educación Básica con Énfasis en Inglés</t>
  </si>
  <si>
    <t>LE</t>
  </si>
  <si>
    <t>Licenciatura en Educación Básica Primaria con énfasis en Diversidad</t>
  </si>
  <si>
    <t>M10</t>
  </si>
  <si>
    <t>Maestría en Comunicación</t>
  </si>
  <si>
    <t>M13</t>
  </si>
  <si>
    <t>M6</t>
  </si>
  <si>
    <t>M7</t>
  </si>
  <si>
    <t>Maestría en Educación Docencia</t>
  </si>
  <si>
    <t>Maestría en Educación Docencia - Pereira</t>
  </si>
  <si>
    <t>Maestría en Educación y Desarrollo Humano</t>
  </si>
  <si>
    <t>Maestría en Educación y Desarrollo Humano - Sabaneta</t>
  </si>
  <si>
    <t>M12</t>
  </si>
  <si>
    <t>M17</t>
  </si>
  <si>
    <t>Maestría en Psicología Social</t>
  </si>
  <si>
    <t>PD2</t>
  </si>
  <si>
    <t>Posdoctorado en Ciencias Sociales, Niñez y Juventud</t>
  </si>
  <si>
    <t>PD3</t>
  </si>
  <si>
    <t>Posdoctorado en Diversidades, Saberes y Lenguajes del Sur</t>
  </si>
  <si>
    <t>Psicología</t>
  </si>
  <si>
    <t>DATOS PARA NÚMERO DE ASESORÍAS POR PROGRAMA</t>
  </si>
  <si>
    <t xml:space="preserve">DATOS NÚMERO ASESORÍAS </t>
  </si>
  <si>
    <t>DATOS NÚMERO DE ASESORÍAS POR FACULTAD</t>
  </si>
  <si>
    <t>ASESORÍAS POR ASESOR DE RECURSOS ACADÉMICOS</t>
  </si>
  <si>
    <t>ASESORÍAS POR TIPO DE SERVICIO</t>
  </si>
  <si>
    <t>Etiquetas de fila</t>
  </si>
  <si>
    <t>Programas únicos</t>
  </si>
  <si>
    <t>Número de capacitaciones_ Usuario único</t>
  </si>
  <si>
    <t>Número de estudiantes Asesoría</t>
  </si>
  <si>
    <t>Facutades</t>
  </si>
  <si>
    <t>Número de Capacitaciones por Facultad usuario unico</t>
  </si>
  <si>
    <t>Asesor_Académico</t>
  </si>
  <si>
    <t>Número de asesorías usuario único</t>
  </si>
  <si>
    <t>Tipo de Servicio</t>
  </si>
  <si>
    <t>Numero de asesorías usuario único</t>
  </si>
  <si>
    <t>Presencial</t>
  </si>
  <si>
    <t>Virtual</t>
  </si>
  <si>
    <t xml:space="preserve">A Distancia </t>
  </si>
  <si>
    <t>Cuenta de Nombre_Usuario</t>
  </si>
  <si>
    <t xml:space="preserve">APA (7 ed. 2020) 
American Psychological Association </t>
  </si>
  <si>
    <t>Etiquetas de columna</t>
  </si>
  <si>
    <t>Temas_Centro_Escritura</t>
  </si>
  <si>
    <t>Facultad_Ciencias_Contables_Económicas_Administrativas</t>
  </si>
  <si>
    <t>Facultad_Ciencias_Ingenierías</t>
  </si>
  <si>
    <t>Facultad_Ciencias_Jurídicas</t>
  </si>
  <si>
    <t>Facultad_Ciencias_Sociales_Humanas</t>
  </si>
  <si>
    <t>Número de Asesorías</t>
  </si>
  <si>
    <t>Cédula</t>
  </si>
  <si>
    <t>Nombre_Usuario</t>
  </si>
  <si>
    <t>Asesor_Recursos_Académicos</t>
  </si>
  <si>
    <t>Nombre_Asesoría</t>
  </si>
  <si>
    <t>Modalidad</t>
  </si>
  <si>
    <t>Asesor_Metodológico, Modalidad_Asesoría2, Asesor_Metodológico, Modalidad_Asesoría2</t>
  </si>
  <si>
    <t>Título_Trabajo_Grado</t>
  </si>
  <si>
    <t>Fecha</t>
  </si>
  <si>
    <t>Revisión Inicial</t>
  </si>
  <si>
    <t>Revisión plantilla</t>
  </si>
  <si>
    <t>Ok_Referencistas</t>
  </si>
  <si>
    <t>OK_Servicios</t>
  </si>
  <si>
    <t>Observaciones</t>
  </si>
  <si>
    <t>Escaneado Turnitin</t>
  </si>
  <si>
    <t>% similitud</t>
  </si>
  <si>
    <t>Aprobación_Similitud</t>
  </si>
  <si>
    <t>Adriana Cardona Montes</t>
  </si>
  <si>
    <t>APA _(7 ed. 2020)_American_Psychological_Association.</t>
  </si>
  <si>
    <t>Valentina Ceballos Montoya</t>
  </si>
  <si>
    <t>listo</t>
  </si>
  <si>
    <t>Julieth Maritza Rosales Erazo</t>
  </si>
  <si>
    <t>Jaime Alberto Restrepo Soto, Virtual, Jaime Alberto Restrepo Soto, Virtual</t>
  </si>
  <si>
    <t>Prácticas colaborativas y de cuidado en un centro educativo infantil privado, Sistematización de la experiencia</t>
  </si>
  <si>
    <t>Sí</t>
  </si>
  <si>
    <t>Gina Tatiana Sandoval Vélez</t>
  </si>
  <si>
    <t>Andrés Mauricio Cardona Aguirre</t>
  </si>
  <si>
    <t>Carlos Augusto Jiménez Laverde</t>
  </si>
  <si>
    <t>Luisa Fernanda Sierra Betancourt</t>
  </si>
  <si>
    <t>Julián Gómez Sánchez, John Jairo Restrepo Lizcano, Virtual, Julián Gómez Sánchez, John Jairo Restrepo Lizcano, Virtual</t>
  </si>
  <si>
    <t>Héctor Edwin Beltrán Gutiérrez</t>
  </si>
  <si>
    <t>El cambio climático en el contexto de la comunicación y percepción de poblaciones focales a la luz de los objetivos de desarrollo sostenible
Nombre directora trabajo grado: Gloria Yaneth Flórez Yepes</t>
  </si>
  <si>
    <t>Alexander Valencia Valencia</t>
  </si>
  <si>
    <t>Evaluación del "Preprocesamiento de Documentos" y "Configuración del Recuperador" en un Asistente Inteligente Basado en RAG .                              Director trabajo de grado: Juan Pablo Giraldo Rendón</t>
  </si>
  <si>
    <t>Jenny Alexandra Castillo Vásquez</t>
  </si>
  <si>
    <t>Familia, desempeño académico y emociones: una propuesta metodológica sobre la influencia del apoyo familiar y la gestión emocional, en el desempeño académico de los estudiantes. Director trabajo de grado, Juan Carlos Rodríguez.</t>
  </si>
  <si>
    <t>Rosa Lilia Villa Salazar</t>
  </si>
  <si>
    <t>Dilsa Mireya Jiménez Neira</t>
  </si>
  <si>
    <t>El color: una propuesta pedagógica inspirada en la sistematización autobiográfica de Dilsa Jiménez. Director trabajo de grado, Juan Carlos Rodríguez.</t>
  </si>
  <si>
    <t>Karolina Castillo Murillo</t>
  </si>
  <si>
    <t>Impacto de estrategias de educación emocional  y su incidencia en el bienestar subjetivo de los docentes para el fortalecimiento de la convivencia escolar en la Institución Educativa General José María Cabal de la ciudad de Cali durante el período 2020-2023. Director trabajo de grado, Juan Carlos Rodríguez.</t>
  </si>
  <si>
    <t>Adriana López Pinchao</t>
  </si>
  <si>
    <t>Impacto de estrategias de educación emocional  y su incidencia en el bienestar subjetivo de los docentes para el fortalecimiento de la convivencia escolar en la institución educativa General José María Cabal de la ciudad de Cali durante el período 2020-2023. Director trabajo de grado, Juan Carlos Rodríguez.</t>
  </si>
  <si>
    <t>Sandra del Socorro Márquez</t>
  </si>
  <si>
    <t>Esmeralda Cajiao Cajiao</t>
  </si>
  <si>
    <t>Pensamiento matemático - Práctica pedagógica - Gestión emocional. Director trabajo de grado, Juan Carlos Rodríguez.</t>
  </si>
  <si>
    <t>Herbert Orlando Gómez Quijano</t>
  </si>
  <si>
    <t>Andrés Felipe Castro Flórez</t>
  </si>
  <si>
    <t>Prácticas pedagógicas, entornos saludables y gestión emocional. Director trabajo de grado, Juan Carlos Rodríguez.</t>
  </si>
  <si>
    <t>No</t>
  </si>
  <si>
    <t>Todo el artículo está muy bien estructurado. Realizar solo dos pequeños ajustes: 1. En el formato de autorización, agregar el título en el campo que corresponde, debajo de la fecha 2. En la portada del trabajo, seleccionar el tipo de documento (artículo de investigación, artículo de revisión, tesis, etc).</t>
  </si>
  <si>
    <t>Salomé Franco Patiño</t>
  </si>
  <si>
    <t>Yuliana Jaramillo Ortiz</t>
  </si>
  <si>
    <t>Gestión emocional y su relación con los estilos parentales experimentados durante la infancia: un estudio en padres de la Escuela maternal sembradores de Dios de Cali. Director trabajo de grado, Juan Carlos Rodríguez.</t>
  </si>
  <si>
    <t>Wilmer Ossa Tobar</t>
  </si>
  <si>
    <t>Diana Molina Acuña</t>
  </si>
  <si>
    <t>El sabatino en los contextos familiares: las prácticas pedagógicas que cambian vidas. Director trabajo de grado, Juan Carlos Rodríguez.</t>
  </si>
  <si>
    <t>Lucy Johana Fuertes Ortiz</t>
  </si>
  <si>
    <t>El sabatino en los contextos familiares: Las prácticas pedagógicas que cambian vidas. Director de trabajo de grado, Juan Carlos Rodríguez.</t>
  </si>
  <si>
    <t>Luisa Fernanda Sánchez Betancourt</t>
  </si>
  <si>
    <t>Directores de trabajo de grado, Julián Gómez Sánchez y John Jairo Restrepo Lizcano.</t>
  </si>
  <si>
    <t>No enviaron el nombre de su artículo</t>
  </si>
  <si>
    <t>Lorena Osorio Almanza</t>
  </si>
  <si>
    <t>Carlos Andrés Barco Rojas</t>
  </si>
  <si>
    <t>Johana Jaimes Valbuena</t>
  </si>
  <si>
    <t>Laura Milena Parra Gómez</t>
  </si>
  <si>
    <t>Carlos Andrés Mendoza S</t>
  </si>
  <si>
    <t>Johana   Quintero</t>
  </si>
  <si>
    <t>El editar de rol de solicitud es igual o inferior al permiso del rol actual editar</t>
  </si>
  <si>
    <t>Laura Orozco Santafé</t>
  </si>
  <si>
    <t>Saul Prieto Moncayo</t>
  </si>
  <si>
    <t>Yenny Andrea Gutiérrez Toro, Virtual</t>
  </si>
  <si>
    <t xml:space="preserve">Experiencias de aprendizaje situado que favorecen el desarrollo del pensamiento lógico – etnomatemático </t>
  </si>
  <si>
    <t xml:space="preserve">Leidy Julieth Artunduaga </t>
  </si>
  <si>
    <t>Héctor Alexánder López Leguizamón</t>
  </si>
  <si>
    <t>Cambio jurídico de paradigma en los Contratos Legales Inteligentes a partir de la teoría de los sistemas y de la voluntad privada.</t>
  </si>
  <si>
    <t>Luisa Fernanda Solórzano Galindo</t>
  </si>
  <si>
    <t>Henry Reyes Pineda, Virtual</t>
  </si>
  <si>
    <t xml:space="preserve">Análisis de la calidad del agua para uso agrícola y fortalecimiento del rol social e institucional en la Quebrada El Pescador (Hobo, Huila) </t>
  </si>
  <si>
    <t>Falta agregar el título a la autorización</t>
  </si>
  <si>
    <t>Jaime Alberto Restrepo Soto, Virtual</t>
  </si>
  <si>
    <t>Desesencializar las niñeces y las identidades: historia de vida de una joven trans</t>
  </si>
  <si>
    <t xml:space="preserve">Angie Yorleni Gordillo Sánchez </t>
  </si>
  <si>
    <t>Betancourth Ossa  María Camila, Virtual</t>
  </si>
  <si>
    <t>Desarrollo de un sistema de información geográfica para optimizar análisis espaciales en la secretaría de planeación de San Martín, Meta</t>
  </si>
  <si>
    <t>Ajustar bibliográfia y espacios en el documento principal, cédulas en la autorización</t>
  </si>
  <si>
    <t xml:space="preserve">Julian Camilo Saray Montenegro </t>
  </si>
  <si>
    <t>Desarrollo de un sistema de información geográfica para optimizar análisis espaciales en la secretaria de planeación de San Martin, Meta”</t>
  </si>
  <si>
    <t>Viviana Marcela Chicangana Ramírez</t>
  </si>
  <si>
    <t>María Camila Betancourth Ossa, Presencial</t>
  </si>
  <si>
    <t>“Análisis de Fragmentación del Bosque Húmedo Tropical en el Parque Nacional Natural Munchique, Cauca.</t>
  </si>
  <si>
    <t>Wilman Tangarife</t>
  </si>
  <si>
    <t>Título: subtítulo: Falta en la autorización</t>
  </si>
  <si>
    <t>Jhon Harol López Pérez</t>
  </si>
  <si>
    <t>Diana Marcela Quintero García</t>
  </si>
  <si>
    <t>Eider Antonio Montenegro Ortega</t>
  </si>
  <si>
    <t xml:space="preserve">Rubén Darío Betancur López </t>
  </si>
  <si>
    <t>Rubiela Jiménez Aguirre, Luis Fernando Gómez Montoya, Presencial</t>
  </si>
  <si>
    <t>Abuso Tributario en Colombia: Análisis, Aplicación y Responsabilidad Penal</t>
  </si>
  <si>
    <t>Maria Eugenia Nieto</t>
  </si>
  <si>
    <t>Julián Andrés Tabarquino Mápura</t>
  </si>
  <si>
    <t>Rubiela Jiménez Aguirre, Luis Fernando Gómez Montoya</t>
  </si>
  <si>
    <t>Sayan Camilo Mosquera Román</t>
  </si>
  <si>
    <t>Viviana Cardona Posada</t>
  </si>
  <si>
    <t>Implementación de un asistente virtual para la evaluación docente en la Universidad de Manizales basado en Microsoft Azure y procesamiento de PDF</t>
  </si>
  <si>
    <t>Álvaro Agudelo</t>
  </si>
  <si>
    <t>Eilyn Dayhanna Buitrago Duque</t>
  </si>
  <si>
    <t>Michael David Herrada Castañeda</t>
  </si>
  <si>
    <t xml:space="preserve">Gabriel Alejandro Mesa Salamanca </t>
  </si>
  <si>
    <t>Valbuena Gaona Martha Patricia</t>
  </si>
  <si>
    <t>Implementación de inteligencia artificial para la actualización de zonas homogéneas físicas rurales en el Municipio de Monguí, Boyacá</t>
  </si>
  <si>
    <t>Se debe organizar una cita en la página 23, nombrar archivos</t>
  </si>
  <si>
    <t xml:space="preserve">Kevin Santiago Rodriguez Leon </t>
  </si>
  <si>
    <t xml:space="preserve">Angie Shirley Mendoza Cañon </t>
  </si>
  <si>
    <t xml:space="preserve">William Eduardo Torres Gutierrez </t>
  </si>
  <si>
    <t>John James Borbón Gómez</t>
  </si>
  <si>
    <t>Barahona Vinasco José Fernando</t>
  </si>
  <si>
    <t>Relación entre la gestión comercial, el marketing y la rentabilidad en pequeños porcicultores del Eje Cafetero de Colombia</t>
  </si>
  <si>
    <t>José Luis Jiménez Hurtado</t>
  </si>
  <si>
    <t>Carmona Parra Jaime Alberto</t>
  </si>
  <si>
    <t>Jóvenes, política y religión. Habitus y posicionamientos políticos de jóvenes vinculados a iglesias underground. La comunidad Cristiana Metalera Pantokrator</t>
  </si>
  <si>
    <r>
      <rPr>
        <sz val="11"/>
        <color rgb="FF000000"/>
        <rFont val="Aptos Narrow"/>
        <scheme val="minor"/>
      </rPr>
      <t xml:space="preserve">Subio la plantilla del trabajo en letra muy pequeña Y no tiene la fecha de embargo / </t>
    </r>
    <r>
      <rPr>
        <sz val="11"/>
        <color rgb="FFFF0000"/>
        <rFont val="Aptos Narrow"/>
        <scheme val="minor"/>
      </rPr>
      <t>https://ridum.umanizales.edu.co/handle/20.500.12746/7418</t>
    </r>
    <r>
      <rPr>
        <sz val="11"/>
        <color rgb="FF000000"/>
        <rFont val="Aptos Narrow"/>
        <scheme val="minor"/>
      </rPr>
      <t xml:space="preserve"> </t>
    </r>
  </si>
  <si>
    <t>Carlos Alfredo Piscal López</t>
  </si>
  <si>
    <t>Maria Camila Betancourth Ossa</t>
  </si>
  <si>
    <t>Diseño e implementación de un SIG para optimizar y esquematizar la operación del Sistema de Alumbrado Público de Pasto SEPAL S.A.</t>
  </si>
  <si>
    <t>Solicita Reingreso Junio 6/2025 AlvaroA.</t>
  </si>
  <si>
    <t>Maria Alejandra Melo Poveda</t>
  </si>
  <si>
    <t>David Gallego García</t>
  </si>
  <si>
    <t>Ana Maria Giraldo Patiño</t>
  </si>
  <si>
    <t>Evaluación de la vulnerabilidad generada por el turismo en el páramo del Valle de los frailejones mediante el uso de SIG en el Municipio de Villamaría, Caldas</t>
  </si>
  <si>
    <t xml:space="preserve">Olga Lucía Giraldo Correa </t>
  </si>
  <si>
    <t>Luis Fernando Gómez Montoya</t>
  </si>
  <si>
    <t>Estrategias Tributarias para Incentivar la Formalización Empresarial y Laboral en Colombia</t>
  </si>
  <si>
    <t>Sofia Giraldo Moreno</t>
  </si>
  <si>
    <t>Rubiela Jiménez Aguirre</t>
  </si>
  <si>
    <t>Leidy Juliet Artunduaga Gómez</t>
  </si>
  <si>
    <t>José Fernando Barahona Vinasco</t>
  </si>
  <si>
    <t>Percepciones y expectativas que se tienen del mercadeo como disciplina y como profesión en Florencia, Caquetá</t>
  </si>
  <si>
    <t>Juan Sebastian Romero Charry</t>
  </si>
  <si>
    <t>Ofelia Palencia Fajardo</t>
  </si>
  <si>
    <t>Determinantes de la Sostenibilidad Artesanal: Perspectivas Productivas, Comerciales y Culturales en el Sur del Huila</t>
  </si>
  <si>
    <t>Oscar Raul Jaimes Rincon</t>
  </si>
  <si>
    <t>María Piedad Marín Gutierrez</t>
  </si>
  <si>
    <t>Determinantes Claves Para Incrementar el Consumo de Proteína de Pollo</t>
  </si>
  <si>
    <t>Formato de autorización sin firma. Falta numerar todos los capítulos (solo enumero las recomendaciones)</t>
  </si>
  <si>
    <t>Juan Manuel Osorio Giraldo</t>
  </si>
  <si>
    <t xml:space="preserve">Implementación de Inteligencia Artificial y Automatización de los procesos administrativos en la Facultad de Ciencia e Ingeniería, Universidad de Manizales </t>
  </si>
  <si>
    <t>Yon Genis Aristizábal Trujillo</t>
  </si>
  <si>
    <t>Yuly Natalia Marrero Valencia</t>
  </si>
  <si>
    <t xml:space="preserve">Luisa Fernanda Castaño Orozco </t>
  </si>
  <si>
    <t>Héctor Darío Betancur</t>
  </si>
  <si>
    <t>incidencias en la conformidad constitucional por la aplicación del principio de reserva de ley en la creación de tributos a través de los planes nacionales de desarrollo en Colombia.</t>
  </si>
  <si>
    <t>Falta el formato de autorización de publicación en el Repositorio. No utilizo la plantilla para entrega de trabajos de grado</t>
  </si>
  <si>
    <t>Jorge Luis Bedoya</t>
  </si>
  <si>
    <t>DARWIN SUAZA HENDEZ</t>
  </si>
  <si>
    <t>Julián Andrés Gómez Sánchez</t>
  </si>
  <si>
    <t>“Análisis del perfil sociodemográfico y cultura tributaria en la comuna 2 de la ciudad de Neiva. Colombia”</t>
  </si>
  <si>
    <t>Falta el formato de autorización de publicación en el Repositorio. No utilizo la plantilla para entrega de Articulos</t>
  </si>
  <si>
    <t>DIANA ANDREA RODRÍGUEZ LOAIZA</t>
  </si>
  <si>
    <t>Jairo Serna Restrepo</t>
  </si>
  <si>
    <t>"Residencia fiscal en Colombia y el efecto de los convenios para evitar la doble tributación en nómada digitales"</t>
  </si>
  <si>
    <t>Falta el formato de autorización de publicación en el Repositorio. No utilizo la plantilla para entrega de Trabajos de Grado</t>
  </si>
  <si>
    <t>DIEGO FERNANDO ORTEGA GUERRERO</t>
  </si>
  <si>
    <t>Marcela Pedraza</t>
  </si>
  <si>
    <t>Irma Soto Vallejo</t>
  </si>
  <si>
    <t>“Condiciones de las Brechas del Capital Humano en el turismo sostenible del Eje Cafetero”</t>
  </si>
  <si>
    <t>Maria Victoria León Grimaldos</t>
  </si>
  <si>
    <t>Andrés Klaus Runge, Virtual</t>
  </si>
  <si>
    <t xml:space="preserve">Los sentidos que otorga un grupo de niños, niñas adolescentes a las aceras de Ibagué </t>
  </si>
  <si>
    <t>Diana Marcela Molina Argote</t>
  </si>
  <si>
    <t>Turismo patrimonial como estrategia de desarrollo local: un análisis socioeconómico de su incidencia en el municipio de San Agustín (Colombia)</t>
  </si>
  <si>
    <t>CARLOS MARIO FLOREZ VELASQUEZ</t>
  </si>
  <si>
    <t>Carlos Andrés Osorio Toro</t>
  </si>
  <si>
    <t>"Análisis de las diferencias en las prácticas organizacionales relacionadas con el mercadeo antes y después de pandemia en las empresas colombianas que implementaron procesos de transformación digital como herramienta estratégica".</t>
  </si>
  <si>
    <t>Tiene paz y salvo desde marzo (OK PYS APROB.MAR/06/2025.AAL)</t>
  </si>
  <si>
    <t>Lina María Fajardo Rentería</t>
  </si>
  <si>
    <t>Julian Andres Gomez Sanchez</t>
  </si>
  <si>
    <t>Indicadores contables para la medicion del impacto ambiental en las empresas de turismo de Manizales</t>
  </si>
  <si>
    <t>Margorieth Gonzalez Ramos</t>
  </si>
  <si>
    <t>Diana Milena Ríos Montoya</t>
  </si>
  <si>
    <t>Lina María Arbeláez Rendón</t>
  </si>
  <si>
    <t>Marleny Cardona Acevedo</t>
  </si>
  <si>
    <t>"Emprendimientos Femeninos Sostenibles y Escalables en Subsector del Cacao en Manizales ".</t>
  </si>
  <si>
    <t xml:space="preserve">Iván Darío Rodríguez Otalora </t>
  </si>
  <si>
    <t>Análisis hidrológico y fluvial del caño Picuño mediante SIG para mitigación de inundaciones en la vereda la Isla Guamal, Meta</t>
  </si>
  <si>
    <t xml:space="preserve">Jaiber Augusto Morales Velásquez </t>
  </si>
  <si>
    <t xml:space="preserve">Yerson Andrey Velásquez González </t>
  </si>
  <si>
    <t>Carlos Marcelo Jaramillo Echeverry</t>
  </si>
  <si>
    <t xml:space="preserve">Modelación hidrogeológica tridimensional estática basada en unidades hidroestratigráficas con Leapfrog Geo en la subcuenca de Dosquebradas, Risaralda </t>
  </si>
  <si>
    <t>Laura Isabel Urrego Sandoval</t>
  </si>
  <si>
    <t>Alejandro Londoño Valencia</t>
  </si>
  <si>
    <t>Experiencia de aplicación de adaptación de un protocolo de Terapia Dialéctica Conductual en dos pacientes con Trastorno Límite de personalidad</t>
  </si>
  <si>
    <t>María del Pilar Calderon Villegas</t>
  </si>
  <si>
    <t xml:space="preserve">Juan Camilo Aguirre Rivera </t>
  </si>
  <si>
    <t>Alejandra Dalila Rico Molano</t>
  </si>
  <si>
    <t>Modelo curricular asistido por inteligencia artifical generativa en el marco de la ciudadanía digital</t>
  </si>
  <si>
    <t xml:space="preserve">MIGUEL ÁNGELO BALLESTEROS VIAFARA. </t>
  </si>
  <si>
    <t>WILMAN ANTONIO RODRÍGUEZ, Virtual</t>
  </si>
  <si>
    <t xml:space="preserve">FORMAR PARA LA CIUDADANÍA: DESARROLLO DE LAS COMPETENCIAS CIUDADANAS DESDE LA FILOSOFÍA PARA NIÑOS EN UN CONTEXTO RURAL. ESTUDIO DE CASO EN LA INSTITUCIÓN EDUCATIVA MARI LÓPEZ BELLAVISTA, EN EL MUNICIPIO DE SUAREZ - CAUCA </t>
  </si>
  <si>
    <t>Revisado por Alvaro Agudelo</t>
  </si>
  <si>
    <t>Análisis de susceptibilidad a movimientos de masa en la zona Arme de Chinchiná utilizando herramientas</t>
  </si>
  <si>
    <t>METADATOS CONFIDENCIALES ( NO DEBE QUEDAR LOS METADATOS PÚBLICOS)</t>
  </si>
  <si>
    <t xml:space="preserve">Andrés Felipe Ríos Correa </t>
  </si>
  <si>
    <t xml:space="preserve">Julián David Castañeda Muñoz </t>
  </si>
  <si>
    <t>Tutora: María Camila Ospina Alvarado 
Cotutora: Martha Cecilia Lozano Ardila</t>
  </si>
  <si>
    <t xml:space="preserve">Somos fuente orgánica del conjunto social. Despliegues de la subjetividad política en activistas presentes en redes sociales </t>
  </si>
  <si>
    <t xml:space="preserve">Falta cargar tesis en word, formato de autorización, acta de sustentación </t>
  </si>
  <si>
    <t>Juan Bernardo Zuluaga Valencia, Virtual</t>
  </si>
  <si>
    <t>Función ejecutiva y teoría de la mente en niños con trastorno del espectro autista</t>
  </si>
  <si>
    <t>Corregir algunos aspectos del formato APA</t>
  </si>
  <si>
    <t xml:space="preserve">Juan Manuel Osorio Giraldo </t>
  </si>
  <si>
    <t>Viviana Cardona Posada, Presencial</t>
  </si>
  <si>
    <t>Título: subtítulo:  Falta</t>
  </si>
  <si>
    <t xml:space="preserve">Greisy Lanet Mejía Montes </t>
  </si>
  <si>
    <t>Juan Felipe Castellanos Martínez, Virtual</t>
  </si>
  <si>
    <t xml:space="preserve"> El rol del acceso a los servicios financieros y su influencia en el desarrollo económico </t>
  </si>
  <si>
    <t>Clodet Cerón Ordoñez</t>
  </si>
  <si>
    <t>YENNY ANDREA GUTIÉRREZ TORO, A Distancia</t>
  </si>
  <si>
    <t>Velcy Johana Cerón Ordoñez</t>
  </si>
  <si>
    <t xml:space="preserve"> Edier Saul Prieto Moncayo</t>
  </si>
  <si>
    <t>Jose Luis Jimenez Hurtado</t>
  </si>
  <si>
    <t>Jaime Alberto Carmona Parra, Presencial</t>
  </si>
  <si>
    <t>Nicolás Sebastián Becerra Guerrero</t>
  </si>
  <si>
    <t>Ana María  Giraldo Patiño</t>
  </si>
  <si>
    <t>Comparación de índices espectrales y cambios de cobertura pre y post incendio en octubre 2023, reserva “El Viche”, Tesalia-Huila.</t>
  </si>
  <si>
    <t>Diego Atilano Trujillo Torres</t>
  </si>
  <si>
    <t>Laura Lucia Castro Ocampo</t>
  </si>
  <si>
    <t>Ana María  Giraldo Patiño, Virtual</t>
  </si>
  <si>
    <t>Análisis multitemporal de la cárcava del Alto Tablazo mediante el uso de imágenes satelitales en el municipio de Manizales, Caldas</t>
  </si>
  <si>
    <t>Diana Lorena Vélez Ramírez</t>
  </si>
  <si>
    <t>Emma Sofía Corredor Camargo</t>
  </si>
  <si>
    <t>Diego Hernández García</t>
  </si>
  <si>
    <t xml:space="preserve">Falta Inicio embargo: Título: subtítulo: </t>
  </si>
  <si>
    <t>Luis Carlos Villanueva Ospina</t>
  </si>
  <si>
    <t>Juan Carlos Granobles Torres</t>
  </si>
  <si>
    <t xml:space="preserve">Contribución de la política de formalización minera en Colombia a la consolidación de los objetivos del desarrollo sostenible a partir del caso del proyecto de Mineros La María S.A.S. en San Roque Antioquia </t>
  </si>
  <si>
    <t>Yaby Daneyi Imbachi Molano</t>
  </si>
  <si>
    <t>Yenni Andrea Gutierrez Toro</t>
  </si>
  <si>
    <t xml:space="preserve">ESTRATEGIAS METACOGNITIVAS PARA LA POTENCIACIÓN DE AULAS INCLUSIVAS </t>
  </si>
  <si>
    <t xml:space="preserve">Diego Fernando Rodriguez </t>
  </si>
  <si>
    <t>Angie Yorleni Gordillo Sánchez</t>
  </si>
  <si>
    <t>María Camila Betancourth Ossa</t>
  </si>
  <si>
    <t>Julián Camilo Saray Montenegro</t>
  </si>
  <si>
    <t xml:space="preserve">Christian Jhair Abella Bernal </t>
  </si>
  <si>
    <t>Vladimir Henao Céspedes</t>
  </si>
  <si>
    <t>Imágenes satelitales SAR para la identificación de cambios en cuerpos de agua durante inundaciones costeras en la ciudad de Cartagena.</t>
  </si>
  <si>
    <t xml:space="preserve">Fabio Neira Alzate </t>
  </si>
  <si>
    <t xml:space="preserve">Diego Fernando Cadena Vélez </t>
  </si>
  <si>
    <t>Rubén Darío Torres Sánchez</t>
  </si>
  <si>
    <t>Alberto Boada Rodríguez</t>
  </si>
  <si>
    <t>Análisis multitemporal 2019 - 2024 de la deforestación en el Distrito Regional de Manejo Integrado Complejo Cenagoso de La Zapatosa, caso de estudio: municipio de Chimichagua - Cesar</t>
  </si>
  <si>
    <t>JAIRO ALEXANDER ARROYAVE MIRANDA</t>
  </si>
  <si>
    <t>GOMEZ SANCHES, JULIAN ANDRES</t>
  </si>
  <si>
    <t>GUÍA ESENCIAL SOBRE EL BENEFICIO TRIBUTARIO Y EL RÉGIMEN SIMPLE DE TRIBUTACIÓN (R.S.T) EN COLOMBIA.</t>
  </si>
  <si>
    <t>Ya se le habia entregado paz y salvo, sin embargo no entrego el formato de  Autorizacion de publicación en el Ridum (OK PYS APROB.MAR/07/2025.AAL)</t>
  </si>
  <si>
    <t xml:space="preserve"> Carlos Martin Quintero Garrido</t>
  </si>
  <si>
    <t>Vargas Marín, Luis Alberto</t>
  </si>
  <si>
    <t>Evaluación de la sostenibilidad del proyecto UFI 7.2 en el Golfo del Morrosquillo, Colombia: análisis de impactos y estratégias de mitigación</t>
  </si>
  <si>
    <t>Ya se había entregado paz y salvo (PLANTILLAS RIDUM OK. OK PYS APROB.MAYO/24/2025.AAL.)</t>
  </si>
  <si>
    <t>Rubén Arlex Pineda Ocampo</t>
  </si>
  <si>
    <t>Ya se le entregó paz y salvo (RIDUM OK.OK PYS APROB.FEB/26/2025.AAL.)</t>
  </si>
  <si>
    <t>EMMA  SOFIA CORREDOR CAMARGO</t>
  </si>
  <si>
    <t>Edwin Manuel Páez Barón, , Diego Hernández García</t>
  </si>
  <si>
    <t>Relación entre parámetros productivos y huellas ambientales en ganadería de leche en ecosistema alto andino</t>
  </si>
  <si>
    <t>Liseth Stefania Lara Quiñones</t>
  </si>
  <si>
    <t>Pineda Murillo, Rogelio</t>
  </si>
  <si>
    <t>El ordenamiento marino-costero en Colombia como apuesta al desarrollo sostenible. Estudio de caso del municipio de Tumaco-Nariño</t>
  </si>
  <si>
    <t>Angie Paola Umaña Orjuela</t>
  </si>
  <si>
    <t>Hector Andres Mora Bedoya</t>
  </si>
  <si>
    <t>Gemelo digital subestación eléctrica</t>
  </si>
  <si>
    <t>Olinda Marcela Uribe Pinzón</t>
  </si>
  <si>
    <t>Hidelber Antonio Correa Holguín</t>
  </si>
  <si>
    <t>Kayra Jeliana Amador Martínez</t>
  </si>
  <si>
    <t>Edgar Mauricio Delgado Pérez</t>
  </si>
  <si>
    <t>Carolina Marín Romero</t>
  </si>
  <si>
    <t>Claudia Bionet Gómez Alzáte, Virtual</t>
  </si>
  <si>
    <t>Comunicación asertiva, empatía y resolución de conflictos para estudiantes virtuales de educación superior.</t>
  </si>
  <si>
    <t>Monica María Loaiza Cárdenas</t>
  </si>
  <si>
    <t>Mónica Loaiza</t>
  </si>
  <si>
    <t>Claudia Gómez, Virtual</t>
  </si>
  <si>
    <t>Carlos Andrés Silva Ortiz</t>
  </si>
  <si>
    <t>Evaluación de la factibilidad técnica y socioeconómica de un sistema fotovoltaico para la vereda la Polonia, Villavieja – Huila</t>
  </si>
  <si>
    <t>Juan Diego López Ospina</t>
  </si>
  <si>
    <t>Posicionamiento por medio del marketing digital en las empresas B2B</t>
  </si>
  <si>
    <t>OK PYS APROB.FEB/24/2025.AAL.(EL ACTA REPOSA EN REGISTRO).subio el pdf pero falta el formato de autorización  y el acta de grado.</t>
  </si>
  <si>
    <t>Francisco Antonio Escobar Patiño</t>
  </si>
  <si>
    <t>Walter Murillo</t>
  </si>
  <si>
    <t>mpacto económico-ambiental frente a la producción de asfalto calidad 60/70 en la gerencia refinería de Barrancabermeja GRB</t>
  </si>
  <si>
    <t xml:space="preserve">Ruben Dario BETANCUR LOPEZ </t>
  </si>
  <si>
    <t>Abuso tributario en Colombia: análisis, aplicación y responsabilidad penal</t>
  </si>
  <si>
    <t xml:space="preserve">Julián AndrésTabarquino Mápura </t>
  </si>
  <si>
    <t>“Abuso Tributario en Colombia: Análisis, Aplicación y Responsabilidad Penal”</t>
  </si>
  <si>
    <t>Juan David Granados Rincón</t>
  </si>
  <si>
    <t>Jiber Antonio Quintero Salazar</t>
  </si>
  <si>
    <t xml:space="preserve">Análisis del estado de la susceptibilidad de la infraestructura hidráulica mediante herramientas GIS en la cabecera municipal de San Pablo, Nariño. </t>
  </si>
  <si>
    <t>Juan David Martínez Urquijo</t>
  </si>
  <si>
    <t>Juan Fernando Alvis González</t>
  </si>
  <si>
    <t>Leidy Liliana Melo Caicedo</t>
  </si>
  <si>
    <t xml:space="preserve">Yeimi Carolina García Ospina  </t>
  </si>
  <si>
    <t>Gonzalo Tamayo Giraldo</t>
  </si>
  <si>
    <t xml:space="preserve">La experiencia del sentido de vida y las emociones en el bienestar psicológico de las personas mayores </t>
  </si>
  <si>
    <t>OK RIDUM. OK PYS APROB.FEB/19/2025.AAL.</t>
  </si>
  <si>
    <t xml:space="preserve">Ottman Yeshid Salazar Morales  </t>
  </si>
  <si>
    <t>Sandra Marcela Causil Simanca</t>
  </si>
  <si>
    <t>Potencial del Turismo Cultural en Valledupar: Perspectiva Geoespacial y Estratégica</t>
  </si>
  <si>
    <t>Maria Paula Lora Chadid</t>
  </si>
  <si>
    <t>Yadira Lisbeth Amaya Colmenares</t>
  </si>
  <si>
    <t>La transformación en el área de talento humano de Davivienda en las sucursales de Manizales con los modelos de trabajo híbrido/remoto</t>
  </si>
  <si>
    <t>Ya di las indicaciones a Yadira por teléfono: 1. Agregar asesores en la portada con sus estudios más altos 2. Convertir autorización a PDF 3. Agregar toda la información de la página legal (página 2) 3. Agregar resumen y abstract</t>
  </si>
  <si>
    <t>Alejandra Acuña</t>
  </si>
  <si>
    <t>Juan David Gomez Tabares</t>
  </si>
  <si>
    <t>Pelaez Higuera, Keidy Johanna</t>
  </si>
  <si>
    <t>MGT Gestión Integral</t>
  </si>
  <si>
    <t>PROYECTO EMPRENDIMIENTO.OK PYS APROB.MAR/06/2025.AAL.</t>
  </si>
  <si>
    <t>Luz Maribel Victoria Gómez</t>
  </si>
  <si>
    <t>Serna Restrepo, Jairo</t>
  </si>
  <si>
    <t>Exenciones en el impuesto de renta y complementarios para las personas naturales, a la luz de la ley 1819 de 2016 y la ley 2277 del 2022, desde el principio de justicia tributaria</t>
  </si>
  <si>
    <t>OK YA SUBIO A RIDUM. PNDTE SIGUM NOV/21/2024.AAL.</t>
  </si>
  <si>
    <t>Juan daniel Mejia restrepo</t>
  </si>
  <si>
    <t>OK PYS APROB.FEB/28/2025.AAL.</t>
  </si>
  <si>
    <t>Luis Francisco  Melo Rojas</t>
  </si>
  <si>
    <t>Juan Sebastián Grisales Noreña</t>
  </si>
  <si>
    <t>Análisis multitemporal de cambios de coberturas para el polígono del yacimiento paleontológico del Ricaurte alto, Boyacá</t>
  </si>
  <si>
    <t>Leidy Edith Mosquera Nova</t>
  </si>
  <si>
    <t>Sandra Marcela Alzate Herrera</t>
  </si>
  <si>
    <t>“El impuesto al patrimonio en Colombia y los principios de progresividad, equidad y eficiencia”</t>
  </si>
  <si>
    <t>Linda Johana Galeano Romero</t>
  </si>
  <si>
    <t>Luisa Fernanda Solorzano Galind</t>
  </si>
  <si>
    <t>Análisis de la calidad del agua para uso agrícola y fortalecimiento del rol social e institucional en la Quebrada El Pescador (Hobo, Huila)</t>
  </si>
  <si>
    <t>03*06/2025</t>
  </si>
  <si>
    <t>ANDRES FELIPE PERDOMO JARAMILLO</t>
  </si>
  <si>
    <t xml:space="preserve"> Diseño de un modelo de productividad laboral que evalúa el impacto en la competitividad de las Mipymes de café especial en el Sur del departamento del Huila.</t>
  </si>
  <si>
    <t>Juan Camilo Osorio Rojas</t>
  </si>
  <si>
    <t>Carlos David Cardona Arenas</t>
  </si>
  <si>
    <t>Desempeño socioeconómico de las subregiones del departamento del Huila y su contribución al desarrollo territorial durante el periodo 2015-2020.</t>
  </si>
  <si>
    <t>Diana Lorena Criollo Córdoba</t>
  </si>
  <si>
    <t>Carlos Humberto Gonzales Escobar</t>
  </si>
  <si>
    <t xml:space="preserve">Conflictos ambientales frente al desarrollo sostenible de la microcuenca Molinoyaco en el municipio de el tambo, Nariño-Colombia </t>
  </si>
  <si>
    <t xml:space="preserve">Henry Alvarado Avella </t>
  </si>
  <si>
    <t xml:space="preserve">Public Takeover Offers and Their Impact on the Colombian Stock Market: A Panel - BVAR Analysis of the MSCI COLCAP (2020--2024) </t>
  </si>
  <si>
    <t xml:space="preserve">Cristian Andrés Polanía Calderón </t>
  </si>
  <si>
    <t xml:space="preserve">DIANA CAROLINA NIEVES VARGAS </t>
  </si>
  <si>
    <t xml:space="preserve">Análisis Multitemporal de la Vereda Venados en la Zona de Recuperación Natural del PNN Las Orquídeas: Cobertura y Restauración 2018-2024 </t>
  </si>
  <si>
    <t xml:space="preserve"> LUISA FERANDA TRUJILLO PENAGOS </t>
  </si>
  <si>
    <t xml:space="preserve"> HARBY ANDRES RODRIGUEZ CAMACHO </t>
  </si>
  <si>
    <t xml:space="preserve">Valentina Ceballos Montoya </t>
  </si>
  <si>
    <t>Jaime Alberto Restrepo Soto</t>
  </si>
  <si>
    <t>“Desesencializar las niñeces y las identidades: historia de vida de una joven trans</t>
  </si>
  <si>
    <t>Ingrid Juanita Hoyos Gómez</t>
  </si>
  <si>
    <t xml:space="preserve">Intervención del nivel pragmático a través del juego en niños con Trastorno del Espectro Autista </t>
  </si>
  <si>
    <t xml:space="preserve">Valentina Buitrago Londoño </t>
  </si>
  <si>
    <t>Andrés Osorio Londoño</t>
  </si>
  <si>
    <t xml:space="preserve">Influencia de la compensación total en el desempeño individual de los agentes de telemarketing de Lamassu Media SAS </t>
  </si>
  <si>
    <t>Jorge Hernán Marín Londoño</t>
  </si>
  <si>
    <t>Marleny Cardona Acevedo, Presencial</t>
  </si>
  <si>
    <t>Stefania Valderrama Madrigal</t>
  </si>
  <si>
    <t>Luis Francisco Melo Rojas</t>
  </si>
  <si>
    <t xml:space="preserve">Mariana Sofía Candamil Cortés </t>
  </si>
  <si>
    <t>Jorge William Arboleda Valencia</t>
  </si>
  <si>
    <t xml:space="preserve">Implementación de un modelo computacional predictivo de cosecha con herramientas tecnológicas avanzadas para la producción sostenible del cultivo de cacao </t>
  </si>
  <si>
    <t xml:space="preserve">Juan David Jamioy Cabrera </t>
  </si>
  <si>
    <t>Claudia Patricia Jiménez Guzmán</t>
  </si>
  <si>
    <t>Herramientas tecnológicas basadas en juegos como alternativa para el desarrollo de competencias matemáticas en operaciones básicas de multiplicación y división en niños y niñas de 8 a 9 años</t>
  </si>
  <si>
    <t>Angie Carolay Rodríguez Cosme</t>
  </si>
  <si>
    <t>Nika Cuellar Cuenca</t>
  </si>
  <si>
    <t>FACTORES ECONÓMICOS Y SOCIALES QUE INFLUYEN EN EL</t>
  </si>
  <si>
    <t xml:space="preserve">Andrés Mauricio Cardona Aguirre </t>
  </si>
  <si>
    <t>Falta titulo en el formato autorización y documento principal en PDF</t>
  </si>
  <si>
    <t>JOSE ZAID AVILA LÓPEZ</t>
  </si>
  <si>
    <t>Análisis de las variables para la evaluación del desarrollo de la economía popular en el municipio de Villavieja</t>
  </si>
  <si>
    <t xml:space="preserve">Se rechaza porque debe hacer los siguientes ajustes:
4.Revisar el uso de las mayúsculas ya que hay nombre de capítulos donde utiliza mayúsculas sostenidas y otros solo aplica mayúscula al iniciar el título, que es lo más recomendable.
5. El Formato de autorización de RIDUM, quedo sin la justificación del porque No va a publicar.
</t>
  </si>
  <si>
    <t xml:space="preserve">Kerlyn Dahiana Betancourth Ríos </t>
  </si>
  <si>
    <t>Claudia Esperanza Cardona López</t>
  </si>
  <si>
    <t>Arte y emociones: estrategias para el bienestar y la confianza</t>
  </si>
  <si>
    <t xml:space="preserve">Laura Cristina Gómez Rivera </t>
  </si>
  <si>
    <t>Jhon Eddison Ortega Jácome</t>
  </si>
  <si>
    <t>Amaya Castaño, Gloria Clemencia</t>
  </si>
  <si>
    <t>Biogobernanza del agua del páramo de Santurbán: saberes ancestrales, conflictos socioambientales y resiliencia comunitaria</t>
  </si>
  <si>
    <t>Jhon Eduard Machado Ortiz</t>
  </si>
  <si>
    <t>Bilver Adrián Astorquiza Bustos</t>
  </si>
  <si>
    <t xml:space="preserve">Estudio de viabilidad social para la creación de una Fundación Enfocada en Deporte y el Medio Ambiente en la Empresa de Energía del Putumayo S.A. E.S.P. </t>
  </si>
  <si>
    <t xml:space="preserve">Daniela Salgado Pérez </t>
  </si>
  <si>
    <t>Carlos Humberto González Escobar</t>
  </si>
  <si>
    <t>“Conflictos ambientales frente al desarrollo Sostenible de la microcuenca molinoyaco en el municipio de el tambo (Nariño-Colombia)”</t>
  </si>
  <si>
    <t xml:space="preserve">Carolina Marín Romero </t>
  </si>
  <si>
    <t>Claudia Bionet Gómez Álzate</t>
  </si>
  <si>
    <t xml:space="preserve">Comunicación asertiva, empatía y resolución de conflictos para estudiantes virtuales de educación superior.  </t>
  </si>
  <si>
    <t>Mónica María Loaiza Cárdenas</t>
  </si>
  <si>
    <t>Yadira Amaya</t>
  </si>
  <si>
    <t>Ana María Giraldo Patiño</t>
  </si>
  <si>
    <t>Comparación de índices espectrales y cambios de cobertura pre y post</t>
  </si>
  <si>
    <t>Carlos Andres Palacio Gaviria</t>
  </si>
  <si>
    <t>Procesos de automatización y sistematización en logística 4.0 para almacenes</t>
  </si>
  <si>
    <t>OK PYS APROB.FEB/27/2025.AAL.</t>
  </si>
  <si>
    <t xml:space="preserve">Juan Manuel Alzate Hernández </t>
  </si>
  <si>
    <t>Cultura organizacional. O la cultura en la organización</t>
  </si>
  <si>
    <t>Moisés Elías Alexander Taborda</t>
  </si>
  <si>
    <t>Gloria Yaneth Flórez Yepes</t>
  </si>
  <si>
    <t>Aproximación al valor económico del agua en humedales y su integración a la planificación ambiental en el bajo cauca antioqueño</t>
  </si>
  <si>
    <t>Fausto Mejía Restrepo</t>
  </si>
  <si>
    <t>Jose Fernando Barahona</t>
  </si>
  <si>
    <t>Factores influyentes en la decisión de compra entre agencias de viajes tradicionales y virtuales (OTAs) para las generaciones X y Millennials, desde la perspectiva del marketing relacional</t>
  </si>
  <si>
    <t>Carol viviana betancur velasquez</t>
  </si>
  <si>
    <t>Organizar lista de tablas, el formato de autorización de publicación de obra debe tener el título.</t>
  </si>
  <si>
    <t xml:space="preserve"> Diego J. Calderón Villanueva  </t>
  </si>
  <si>
    <t xml:space="preserve">Valoración geoestadistica de los factores modificadores mineros, ambientales y sociales en la estimación de los recursos mineros de arenas y gravas en el municipio de Yumbo (Valle del Cauca) </t>
  </si>
  <si>
    <t>Falta Título: subtítulo:   trabajo en Word</t>
  </si>
  <si>
    <t xml:space="preserve">  Yeison Levi Mesa Tibaduiza  </t>
  </si>
  <si>
    <t xml:space="preserve">Yeny Fernanda Rosero Ordoñez </t>
  </si>
  <si>
    <t xml:space="preserve">Daniela Geraldinne Ahumada Cabarcas </t>
  </si>
  <si>
    <t xml:space="preserve">Claudia Paola Muñoz Bravo </t>
  </si>
  <si>
    <t>Yeny Lorena Salgado Cardona</t>
  </si>
  <si>
    <t>Julián Andrés Martínez Noreña</t>
  </si>
  <si>
    <t>Validez jurídica del impuesto mínimo en el acuerdo 29 de 2015 de la ciudad de Pereira.</t>
  </si>
  <si>
    <t>Yuliette Lorena Tribiño Cuellar</t>
  </si>
  <si>
    <t>Sandra Constanza Cañón Buitrago</t>
  </si>
  <si>
    <t>Lester Fabian Garrido Arenas</t>
  </si>
  <si>
    <t>Perspectivas económicas y estrategias para el fomento del empleo en Neiva: Un análisis crítico de los Planes de Desarrollo (1995-2024)</t>
  </si>
  <si>
    <t>THOMAS GUZMÁN LÓPEZ</t>
  </si>
  <si>
    <t>EDUARD CASTAÑO GIL</t>
  </si>
  <si>
    <t>PERCEPCIÓN Y ESTRATEGIAS DE ADAPTACIÓN DE LOS TENDEROS FRENTE AL IMPACTO DE LOS DISCOUNTERS EN MANIZALES</t>
  </si>
  <si>
    <t>NICOLÁS ALEJANDRO BLANDÓN BOTÍA</t>
  </si>
  <si>
    <t>Falta todo prácticamente .Debe utilizar la plantilla, falta acta de sustentación, falta formato de autorización y versión en word del trabajo. La tabla de contenido y la bibliogrqafía debe ajustarse.</t>
  </si>
  <si>
    <t>Julián Castañeda</t>
  </si>
  <si>
    <t>Somos fuente orgánica del conjunto social. Despliegues de la subjetividad política en activistas presentes en redes sociales</t>
  </si>
  <si>
    <t>“Valoración geoestadistica de los factores modificadores mineros, ambientales y sociales en la estimación de los recursos mineros de arenas y gravas en el municipio de Yumbo (Valle del Cauca)”</t>
  </si>
  <si>
    <t xml:space="preserve">Daniela Ahumada Cabarcas </t>
  </si>
  <si>
    <t xml:space="preserve">Diego Jose Calderón Villanueva </t>
  </si>
  <si>
    <t>Yeison Levi Mesa Tibaduiza</t>
  </si>
  <si>
    <t>Kerlyn Dahiana Betancourt</t>
  </si>
  <si>
    <t>n Educación, denominado: A</t>
  </si>
  <si>
    <t>Laura Cristina Gómez Rivera</t>
  </si>
  <si>
    <t>Jhorman Alejandro Gómez Arroyave</t>
  </si>
  <si>
    <t>Claudia Patricia Jimenez</t>
  </si>
  <si>
    <t>Habilidades investigativas: Una mirada que dota de sentido el aula</t>
  </si>
  <si>
    <t>Sandra Mónica Garcés Viloria</t>
  </si>
  <si>
    <t>Maria Camila Palacios Aldana</t>
  </si>
  <si>
    <t>Diego Alejandro Calderon Diaz</t>
  </si>
  <si>
    <t>NDVI como indicador de efectividad en la aplicación de Ascophyllum nodosum en el cultivo de aguacate (Persea americana var. Hass)</t>
  </si>
  <si>
    <t>Está bien aplicado el formato de la plantilla, pero el trabajo se ha movido, hay muchos espacios empezando cada página, se movieron algunos títulos. Preferiblemente, cuando se vaya a empezar con un título principal pasar a la siguiente página con Control+Enter, en vez de dar espacios hasta llegar a la siguiente página, para que no pase esto. -La página 40 está en blanco.-En la autorización, agregar el título en el campo después de la fecha de entrega</t>
  </si>
  <si>
    <t>Francisco José Restrepo Sulez</t>
  </si>
  <si>
    <t xml:space="preserve">Andrés Felipe Castro Torres </t>
  </si>
  <si>
    <t>Juan Carlos Rodríguez Rengifo</t>
  </si>
  <si>
    <t>La gestión emocional docente: una práctica pedagógica que fomenta los entornos saludables</t>
  </si>
  <si>
    <t xml:space="preserve">Diana Sofia García Quiroz </t>
  </si>
  <si>
    <t>Beatríz Mejia Serna</t>
  </si>
  <si>
    <t xml:space="preserve">Los derechos del niño en la subrogación de vientres frente a la muerte de los padres intencionales </t>
  </si>
  <si>
    <t>Tener en cuenta los siguientes ajustes: 1. En el formato de autorización agregar el título en el campo después de la fecha de entrega a la biblioteca 2. Aplicar sangría a todos los párrafos del trabajo (sangría especial para párrafos APA) 3. Cambiar Índice por Tabla de contenido</t>
  </si>
  <si>
    <t xml:space="preserve">Miguel Angel Acero Arango </t>
  </si>
  <si>
    <t>Reisner de Jesús Ravelo Méndez</t>
  </si>
  <si>
    <t>Julian Andrés Loaiza de la Pava</t>
  </si>
  <si>
    <t>Construcción de subjetividad política en jóvenes hoppers del Colectivo Distreestyle -cultura hip hop- Localidad de Bosa, Bogotá Un abordaje desde los Estudios Culturales</t>
  </si>
  <si>
    <t>No aplicó plantilla, falta formato autorización, falta archivo tesis en pdf</t>
  </si>
  <si>
    <t>Cristian Andrés Olaya García</t>
  </si>
  <si>
    <t>Carlos Humberto Gonzáles Escobar</t>
  </si>
  <si>
    <t>Análisis de los factores que generan conflictos ambientales por el uso y ocupación del suelo en el área de influencia del embalse del río bobo (Nariño – Colombia)</t>
  </si>
  <si>
    <t>Vanessa Guerrero Benavides</t>
  </si>
  <si>
    <t>Habilidades investigativas: una mirada que dota</t>
  </si>
  <si>
    <t>María Camila Palacios Aldana</t>
  </si>
  <si>
    <t>Christian Alexander Botina Cordoba</t>
  </si>
  <si>
    <t>Estrategia didáctica de la voz cantada: lun estudio cuasiexperimental sobre el rendimiento vocal</t>
  </si>
  <si>
    <t>Natalia Agudelo Restrepo</t>
  </si>
  <si>
    <t>La Influencia de las Actividades Rectoras en el Fortalecimiento en las Habilidades Sociales en Niños de Transición.</t>
  </si>
  <si>
    <t>Michell Karime Hernández</t>
  </si>
  <si>
    <t>Jhon Eddison Ortega Jacome</t>
  </si>
  <si>
    <t>Biogobernanza del agua del Páramo de Santurbán: Saberes ancestrales, conflictos socioambientales y resiliencia comunitaria</t>
  </si>
  <si>
    <t>Andrés Felipe Castro Torres</t>
  </si>
  <si>
    <t>Yeison Pineda Castillo</t>
  </si>
  <si>
    <t>GESTION FORESTAL EN LA LÍNEA DE MEDIA TENSIÓN DEL CIRCUITO</t>
  </si>
  <si>
    <t>Cristian Alberto Torres Carmona</t>
  </si>
  <si>
    <t>VENTANA - GUAMO MEDIANTE ANALISIS SIG</t>
  </si>
  <si>
    <t>Tatiana Reyes Giraldo</t>
  </si>
  <si>
    <t>Cesar Augusto Jaramillo</t>
  </si>
  <si>
    <t xml:space="preserve">Reforma laboral y su impacto en el mercado laboral colombiano </t>
  </si>
  <si>
    <t xml:space="preserve">Andrés Felipe Perdomo Jaramillo </t>
  </si>
  <si>
    <t xml:space="preserve"> Ana Lucia Paque Salazar </t>
  </si>
  <si>
    <t>Diseño de un modelo de productividad laboral que evalúa el impacto en la competitividad de las Mipymes de café especial en el Sur del departamento del Huila</t>
  </si>
  <si>
    <t>Esta completo</t>
  </si>
  <si>
    <t>Sarith Daneyi Bahos Torres</t>
  </si>
  <si>
    <t>Influencia de los aspectos sociodemográficos, percepciones y características económicas de los empresarios de Popayán en la disposición a pagar el impuesto de renta</t>
  </si>
  <si>
    <t>Yury Disney Patiño Meneses</t>
  </si>
  <si>
    <t>René Hernández Toro</t>
  </si>
  <si>
    <t>Nelson Rojas Suárez</t>
  </si>
  <si>
    <t xml:space="preserve">La conservación de los niños, entre el cuidado y la ideología Las formas de la infancia desde el ideologema de cuidado en el siglo XIX </t>
  </si>
  <si>
    <t>Andrés Hernán Rubio Gaviria</t>
  </si>
  <si>
    <t>Incidencia del Sistema de Gestión de Calidad (SGC), establecido en la Norma Internacional de Gestión de Calidad (NIGC1), para la mejora continúa de los Procesos Tributarios de las Firmas de Auditorías, de Revisoría Fiscal y Profesionales Ejercientes Individuales (PEI)</t>
  </si>
  <si>
    <t>Sandra Rubio Gaviria</t>
  </si>
  <si>
    <t>DORIS ELISA ARANGO MORENO</t>
  </si>
  <si>
    <t>Trayectorias de vida y violencias en estudiantes extraedad de primaria de la Sede Francisco José de Caldas</t>
  </si>
  <si>
    <t>Falta Titulo en la plantilla de autorización y acta de sustentación de  ALEXANDRA PEREA VELÁSQUEZ</t>
  </si>
  <si>
    <t>ALEXANDRA PEREA VELÁSQUEZ</t>
  </si>
  <si>
    <t>Debe eliminar los comentarios en el ytrabajo</t>
  </si>
  <si>
    <t>Laura Giraldo Yepes</t>
  </si>
  <si>
    <t>Juan Francisco Espinosa</t>
  </si>
  <si>
    <t>Percepción y alternativas de compra de vivienda como inversión en el sector inmobiliario en Colombia.</t>
  </si>
  <si>
    <t>registro adminsitrador de flujo</t>
  </si>
  <si>
    <t>Lilia Patiño Hurtado</t>
  </si>
  <si>
    <t xml:space="preserve">Alejandro Echeverri </t>
  </si>
  <si>
    <t xml:space="preserve">Análisis de la gobernabilidad de la Comercialización de la minería de subsistencia en el Resguardo del Alto Andágueda. </t>
  </si>
  <si>
    <t>Liceth Lorena Isaza López</t>
  </si>
  <si>
    <t>Fintech as a Driver of Financial Inclusion: A Quantitative Study of Digital Demand and Impact in Colombia</t>
  </si>
  <si>
    <t>Fausto Edward Moreno Rentería</t>
  </si>
  <si>
    <t>Laura María Cardona Cardona</t>
  </si>
  <si>
    <t>Gloria Isaza de Gil</t>
  </si>
  <si>
    <t xml:space="preserve">La Casa Pintada: Transformaciones estéticas y educativas de un colectivo artístico en contextos de exclusión social </t>
  </si>
  <si>
    <t xml:space="preserve">Yeimy Bibiana Diaz Tenorio </t>
  </si>
  <si>
    <t>Yeison Andres Perez Paz</t>
  </si>
  <si>
    <t>Fortalecimiento de la lectura inferencial desde la diversidad: una propuesta didáctica basada en literatura afrodescendiente del cauca</t>
  </si>
  <si>
    <t>Mar judith Tróchez</t>
  </si>
  <si>
    <t xml:space="preserve">Luis Miguel Ardila </t>
  </si>
  <si>
    <t xml:space="preserve">Análisis multitemporal del cambio en usos del suelo en San Vicente del Caguán, Caquetá, como insumo para actualizar el POT </t>
  </si>
  <si>
    <t>Jorge Luis Paloma</t>
  </si>
  <si>
    <t>Jonatan Fernando Cadena Cortés</t>
  </si>
  <si>
    <t>Luis Alberto Vargas Marín</t>
  </si>
  <si>
    <t xml:space="preserve"> Gaiaputare: Pensar la tierra. Una aproximación ontológica desde la ecocontabilidad</t>
  </si>
  <si>
    <t>Angie Loreni Villa Loaiza</t>
  </si>
  <si>
    <t>Transformando la educación: herramientas tecnológicas para trabajar en el aula diversa</t>
  </si>
  <si>
    <t>Comenta que le falta notas en sistema, por eso no ha generado paz y salvo en SIGUM - Trabajo de grado en RIDUM OK</t>
  </si>
  <si>
    <t xml:space="preserve">Vivianed Murillo Arias </t>
  </si>
  <si>
    <t>Aníbal Andrés Cabrera Calderón</t>
  </si>
  <si>
    <t>Eduard Andrés Castaño Gil</t>
  </si>
  <si>
    <t xml:space="preserve">Marketing Territorial y Turismo Verde en Pitalito, Huila: Validación de Estrategias Basadas en las Preferencias de los Turistas </t>
  </si>
  <si>
    <t>Falta Titulo en la plantilla de autorización y algunos ajustes en el dto principal</t>
  </si>
  <si>
    <t>Catherin Lizeth Rey Guerra
Anderson Stiven Guerra 
Jeniffer Carolina Rincón Tovar</t>
  </si>
  <si>
    <t>Inicio proceso aplicación plantilla APA</t>
  </si>
  <si>
    <t>Cesar Augusto Giraldo Durán</t>
  </si>
  <si>
    <t xml:space="preserve">Elvia Lucia Sánchez </t>
  </si>
  <si>
    <t>Temas_Integridad_Académica</t>
  </si>
  <si>
    <t>Trayectorias probabilísticas de la acumulación de capital humano en doce países de la OCD: disparidades regionales e implicaciones sociales</t>
  </si>
  <si>
    <t xml:space="preserve">Leandro Ceballos Henao </t>
  </si>
  <si>
    <t xml:space="preserve"> Gonzalo Tamayo Giraldo</t>
  </si>
  <si>
    <t xml:space="preserve">Musicografía Braille en la Interacción de Personas Ciegas con la Música.  Un Enfoque A/R/Tográfico </t>
  </si>
  <si>
    <t>Documento de 120MB</t>
  </si>
  <si>
    <t>Cristian Alzate Ocampo</t>
  </si>
  <si>
    <t>Miguel Alberto González González</t>
  </si>
  <si>
    <t>Paisajes de olvidos y violencias: Luchas por la identidad cultural del pueblo Kumba</t>
  </si>
  <si>
    <t>Julia Emma López Muñoz</t>
  </si>
  <si>
    <t>Germán Guarín Jurado</t>
  </si>
  <si>
    <t>El sujeto maestro hoy: en la formación democrática en diversidad</t>
  </si>
  <si>
    <t>Carolina Ramírez Loaiza</t>
  </si>
  <si>
    <t>Salud mental y riesgo psicosocial: prevención y gestión para un entorno laboral seguro y  saludable</t>
  </si>
  <si>
    <t>No siguio los lineamientos de Entrega de Tesis, falto formato de autorizacion, falto el acta y archivos en Word.</t>
  </si>
  <si>
    <t>Geronimo Arias Gonzalez</t>
  </si>
  <si>
    <t>Jonathan Posada González</t>
  </si>
  <si>
    <t>La pérdida de oportunidad en la recuperación o tratamiento en fallos del Tribunal Superior de Manizales</t>
  </si>
  <si>
    <t>Shandy Samira Pacheco Acuña</t>
  </si>
  <si>
    <t>Germán Edmundo Narváez Bravo</t>
  </si>
  <si>
    <t>Mujeres Wayuu y el extractivismo carbonífero: Territorialidades y cuerpos en disputo – Una mirada desde la sostenibilidad</t>
  </si>
  <si>
    <t xml:space="preserve">Alexander Henao Gutiérrez </t>
  </si>
  <si>
    <t xml:space="preserve">Carlos Eduardo Rivera Molano </t>
  </si>
  <si>
    <t xml:space="preserve">PERCEPCION DEL RIESGO DE TRABAJO EN ALTURAS, ESPACIOS CONFINADOS EN LA EMPRESA OAMP CONSTRUCCIONES, 2025. </t>
  </si>
  <si>
    <t>hace falta aplicar plantilla al trabajo y cargar archivos requeridos (trabajo en word y pdf, acta de sustentación, formato de autorización)</t>
  </si>
  <si>
    <t xml:space="preserve">Sara Fernanda Manrique Ahumada </t>
  </si>
  <si>
    <t>Genny Andrea García Vásquez</t>
  </si>
  <si>
    <t>Amparo Micolta León</t>
  </si>
  <si>
    <t>El cuidado en la primera infancia: desafíos en el marco de la política pública</t>
  </si>
  <si>
    <t>Eddy Alejandra Herrera Arevalo</t>
  </si>
  <si>
    <t>María Eugenia Nieto</t>
  </si>
  <si>
    <t>Análisis Multitemporal de los Cambios de Coberturas y Usos del Suelo de la Reserva Forestal Serranía de los Motilones, Departamento de Norte de Santander, para los Años 1998, 2014 y 2023</t>
  </si>
  <si>
    <t>María Fernanda Mora Sanjuan</t>
  </si>
  <si>
    <t>Tania Yurleny Ortega Romero</t>
  </si>
  <si>
    <t>Yurani López Espitia</t>
  </si>
  <si>
    <t>Duván Emilio Ramírez Ospina</t>
  </si>
  <si>
    <t>La profesionalización y la Riqueza Socioemocional de la Empresa Familiar</t>
  </si>
  <si>
    <t>Jhon Jairo Botello Jaimes</t>
  </si>
  <si>
    <t>Guillermo Orlando Sierra Sierra, Anibal Vicente Arteaga Noriega.</t>
  </si>
  <si>
    <t>Anticipación clínica y diversidad: una innovación teórica y práctica</t>
  </si>
  <si>
    <t>Simón Agudelo Clavijo</t>
  </si>
  <si>
    <t xml:space="preserve">   </t>
  </si>
  <si>
    <t>Estrategias para impulsar la creatividad y la innovación en empleados de una organización del sector privado de Manizales</t>
  </si>
  <si>
    <t>Falta formato autorización y carga en RIDUM</t>
  </si>
  <si>
    <t>Julián Andrés Loaiza López y Lida Cristina Henao Valencia</t>
  </si>
  <si>
    <t>Carlos Betancourt Correa</t>
  </si>
  <si>
    <t>Competencias TIC docentes en contextos rurales: Diseño de ruta formativa personalizada mediante un asistente de IA para Argelia, Antioquia</t>
  </si>
  <si>
    <t>No veo Formato de Autorizacion ni trabajo en Word.</t>
  </si>
  <si>
    <t>Claudia Marcela Mejia Hernández</t>
  </si>
  <si>
    <t>Impactos socioeconómicos y ambientales de los procesos formativos realizados en las comunidades triétnicas e indígenas de Pueblo Rico, Colombia</t>
  </si>
  <si>
    <t xml:space="preserve">Cristian Camilo Aristizabal Martínez </t>
  </si>
  <si>
    <t xml:space="preserve">Alba Leonilde Suarez Arias, Martha Lucia García Naranjo </t>
  </si>
  <si>
    <t xml:space="preserve">Territorios Sensibles: Representaciones Sociales y Prácticas de Apropiación en el Parque Che Guevara 'La Gotera'. Hacia una Participación Ciudadana para Alternativas al Desarrollo en Manizales, Colombia. </t>
  </si>
  <si>
    <t>Jose Luis Rodríguez Domínguez</t>
  </si>
  <si>
    <t xml:space="preserve">Manuel Francisco Polanco Puerta </t>
  </si>
  <si>
    <t>Evaluación de estrategias institucionales frente al tráfico ilegal de fauna silvestre en Córdoba (2016–2020)</t>
  </si>
  <si>
    <t>Valentina Piedrahita Pérez</t>
  </si>
  <si>
    <t xml:space="preserve">Jonathan Posada González </t>
  </si>
  <si>
    <t>Preacuerdos y verdad en el homicidio: Una mirada hacia los derechos de las víctimas en el departamento de Antioquia (2023 - 2024)</t>
  </si>
  <si>
    <t xml:space="preserve">Gloria Cecilia Trujillo Marín </t>
  </si>
  <si>
    <t>Claudia Bionet Gómez Alzate</t>
  </si>
  <si>
    <t>Fortalecimiento de la comprensión lectora mediante Kahoot y Google  Classroom con estudiantes de 4.º y 5.º grado.</t>
  </si>
  <si>
    <t>Uber Enrique Barrera Gallego</t>
  </si>
  <si>
    <t>Mauricio Mejía Lobo</t>
  </si>
  <si>
    <t>Análisis del Impacto de los Influencers en la identidad digital y en la Generación de Contenido de los Adolescentes en Redes Sociales.</t>
  </si>
  <si>
    <t>Daniel Oswaldo Martínez Bello</t>
  </si>
  <si>
    <t>José Luis Calderón Gutiérrez</t>
  </si>
  <si>
    <t>Luis Felipe Pérez Jaramillo</t>
  </si>
  <si>
    <t xml:space="preserve">María Teresa Carreño Bustamante </t>
  </si>
  <si>
    <t>Ausencia de juez natural especializado para la resolución democrática de controversias tributarias entre el estado y los contribuyentes colombianos</t>
  </si>
  <si>
    <t xml:space="preserve">Yenny Paola Arango Gutiérrez </t>
  </si>
  <si>
    <t>Andrés Camilo Delgado Reyes</t>
  </si>
  <si>
    <t xml:space="preserve">Estudio de Caso: M.G.V </t>
  </si>
  <si>
    <t xml:space="preserve">Maryli Murillo Arboleda </t>
  </si>
  <si>
    <t xml:space="preserve">Angela Johana Arias Castrillón </t>
  </si>
  <si>
    <t xml:space="preserve"> Lizeth Paola Mena Valencia </t>
  </si>
  <si>
    <t xml:space="preserve">Oscar Alberto Henao Osorio </t>
  </si>
  <si>
    <t xml:space="preserve">Beatriz del Carmen Peralta Duque </t>
  </si>
  <si>
    <t xml:space="preserve">Sentidos y Significados del Bienestar de los Jóvenes Rurales Escolares: El caso de la Institución Educativa La Tulia y su contribución a las Políticas de Juventud Rural </t>
  </si>
  <si>
    <t xml:space="preserve">Jose Tabares Sierra </t>
  </si>
  <si>
    <t>Juan David Jurado Ocampo</t>
  </si>
  <si>
    <t>Cosmovisiones ancestrales en Colombia, una mirada desde el derecho constitucional.</t>
  </si>
  <si>
    <t xml:space="preserve">Holman Alberto Pérez Duque </t>
  </si>
  <si>
    <t>Jorge Alexis Hernández Barbosa</t>
  </si>
  <si>
    <t xml:space="preserve">Alba Leonilde Suarez Arias </t>
  </si>
  <si>
    <t xml:space="preserve">Las concepciones del profesorado sobre la incorporación de la educación ambiental en el currículo de la escuela básica secundaria y media en los colegios San Carlos y Luis Camacho Rueda del municipio de San Gil, Colombia </t>
  </si>
  <si>
    <t>Lilia Marcela Villanueva Ceballos</t>
  </si>
  <si>
    <t>Carolina Agudelo Monsalve</t>
  </si>
  <si>
    <t>Percepción de familias y estudiantes sobre la participación masculina en el proceso educativo en la Escuela Normal Superior de Villahermosa, Tolima.</t>
  </si>
  <si>
    <t xml:space="preserve">Keidy Johanna Peláez Higuera </t>
  </si>
  <si>
    <t>Andrés Alberto Osorio Londoño</t>
  </si>
  <si>
    <t xml:space="preserve">Incidencia de los factores organizacionales en la intención emprendedora académica y el rol moderador de la misión universitaria en profesores investigadores de departamentos del Eje Cafetero Colombiano </t>
  </si>
  <si>
    <t xml:space="preserve">Mariana Dussán Cárdenas </t>
  </si>
  <si>
    <t xml:space="preserve">Carlos Humberto González Escobar </t>
  </si>
  <si>
    <t>Análisis comparativo de escenarios de valoración para la recuperación de residuos sólidos en fuentes domésticas en Manizales</t>
  </si>
  <si>
    <t xml:space="preserve"> Rubén Darío Caicedo Biuza</t>
  </si>
  <si>
    <t xml:space="preserve">Andrea Vaca López </t>
  </si>
  <si>
    <t>De PYCAS y POCILES: Diálogo intercultural entre la racionalidad ambiental ancestral y la occidental contrahegemónica. Crítica al desarrollo capitalista hegemónico. El caso del Ilé Ogún y Yemayá</t>
  </si>
  <si>
    <t>Fredy Alberto Zuluaga Hoyos</t>
  </si>
  <si>
    <t>Sandra Milena Robayo</t>
  </si>
  <si>
    <t>Racismo escolar y subjetividad política, historia de vida de una mujer y maestra afrocolombiana</t>
  </si>
  <si>
    <t>Genny Alejandra Mera Córdoba</t>
  </si>
  <si>
    <t>Jhon Fredy Betancur Pérez</t>
  </si>
  <si>
    <t>Tratamiento sostenible de aguas contaminadas con cromo hexavalente mediante nanoadsorbentes sintetizados por química verde</t>
  </si>
  <si>
    <t xml:space="preserve">Cristian Camilo Durán Montes </t>
  </si>
  <si>
    <t xml:space="preserve">Wilman Antonio Rodríguez Castellanos Magíster (MSc) en Educación </t>
  </si>
  <si>
    <t xml:space="preserve">Los criterios de valor del cuidado y la ética de la compasión como mediadores en las tensiones y los conflictos escolares: una aproximación a la convivencia escolar del grado 1103 de la institución educativa José María Hernández, Puerto Leguízamo, Putumayo </t>
  </si>
  <si>
    <t xml:space="preserve">Hugo Humberto Quintero Lizarazo </t>
  </si>
  <si>
    <t>Sury Viviana  Devia Lozano</t>
  </si>
  <si>
    <t>Factores para la adopción de Estrategias de Marketing Digital en las Pymes de Neiva</t>
  </si>
  <si>
    <t>Juan Alejandro Osorio Ospina</t>
  </si>
  <si>
    <t>Sebastián Salazar</t>
  </si>
  <si>
    <t>Transprote Ferrodiario y su relacón con la eficiencia  logística para la exportación de café en Colombia, utilizando la ruta la Dorada y Santa Marta.</t>
  </si>
  <si>
    <t>Facultad_Ciencias_Salud</t>
  </si>
  <si>
    <t>Modalidad_Asesoría</t>
  </si>
  <si>
    <t>Aprobados PyS</t>
  </si>
  <si>
    <t>Revisión de Plantilla</t>
  </si>
  <si>
    <t>Comunicación Social y Periodismo</t>
  </si>
  <si>
    <t xml:space="preserve">IEEE_(2025)_Institute_of_Electrical_and_Electronics_Engineers  </t>
  </si>
  <si>
    <t>Vancouver_(2018)_International_Committee_of_Medical_Journal_Editors_[ICMJE]</t>
  </si>
  <si>
    <t>En proceso</t>
  </si>
  <si>
    <t>Juan Manuel Ramírez</t>
  </si>
  <si>
    <t>Diego Alejandro Soto Herrera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</si>
</sst>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Aptos Narrow"/>
      <family val="2"/>
      <scheme val="minor"/>
    </font>
    <font>
      <sz val="12"/>
      <color theme="1"/>
      <name val="Aptos Narrow"/>
      <family val="2"/>
      <scheme val="minor"/>
    </font>
    <font>
      <b/>
      <sz val="11"/>
      <color theme="0"/>
      <name val="Aptos Narrow"/>
      <family val="2"/>
      <scheme val="minor"/>
    </font>
    <font>
      <sz val="8"/>
      <name val="Aptos Narrow"/>
      <family val="2"/>
      <scheme val="minor"/>
    </font>
    <font>
      <b/>
      <sz val="11"/>
      <color theme="1"/>
      <name val="Aptos Narrow"/>
      <family val="2"/>
      <scheme val="minor"/>
    </font>
    <font>
      <sz val="16"/>
      <color theme="1"/>
      <name val="Aptos Narrow"/>
      <family val="2"/>
      <scheme val="minor"/>
    </font>
    <font>
      <b/>
      <sz val="18"/>
      <color theme="1" tint="0.34998626667073579"/>
      <name val="Arial Narrow"/>
      <family val="2"/>
    </font>
    <font>
      <u/>
      <sz val="11"/>
      <color theme="10"/>
      <name val="Aptos Narrow"/>
      <family val="2"/>
      <scheme val="minor"/>
    </font>
    <font>
      <sz val="9"/>
      <color rgb="FF000000"/>
      <name val="Arial"/>
      <family val="2"/>
    </font>
    <font>
      <sz val="11"/>
      <color rgb="FF242424"/>
      <name val="Aptos Narrow"/>
    </font>
    <font>
      <sz val="11"/>
      <color rgb="FF000000"/>
      <name val="Aptos Narrow"/>
      <family val="2"/>
      <scheme val="minor"/>
    </font>
    <font>
      <sz val="11"/>
      <color rgb="FF000000"/>
      <name val="Calibri"/>
      <family val="2"/>
    </font>
    <font>
      <sz val="8"/>
      <color rgb="FF000000"/>
      <name val="Arial"/>
      <family val="2"/>
    </font>
    <font>
      <sz val="12"/>
      <color theme="1"/>
      <name val="Aptos Narrow"/>
      <scheme val="minor"/>
    </font>
    <font>
      <sz val="12"/>
      <color rgb="FF343A40"/>
      <name val="Nunito"/>
      <charset val="1"/>
    </font>
    <font>
      <sz val="12"/>
      <color theme="1"/>
      <name val="Aptos"/>
    </font>
    <font>
      <sz val="11"/>
      <color rgb="FFFF0000"/>
      <name val="Aptos Narrow"/>
      <family val="2"/>
      <scheme val="minor"/>
    </font>
    <font>
      <sz val="11"/>
      <color theme="10"/>
      <name val="Aptos Narrow"/>
      <family val="2"/>
      <scheme val="minor"/>
    </font>
    <font>
      <sz val="11"/>
      <color rgb="FF000000"/>
      <name val="Aptos Narrow"/>
      <scheme val="minor"/>
    </font>
    <font>
      <sz val="11"/>
      <color rgb="FFFF0000"/>
      <name val="Aptos Narrow"/>
      <scheme val="minor"/>
    </font>
    <font>
      <sz val="11"/>
      <color rgb="FF000000"/>
      <name val="Aptos Narrow"/>
    </font>
    <font>
      <b/>
      <sz val="14"/>
      <color theme="1"/>
      <name val="Aptos Narrow"/>
      <family val="2"/>
      <scheme val="minor"/>
    </font>
    <font>
      <sz val="14"/>
      <color theme="1"/>
      <name val="Aptos Narrow"/>
      <family val="2"/>
      <scheme val="minor"/>
    </font>
    <font>
      <sz val="8"/>
      <color rgb="FF000000"/>
      <name val="Arial"/>
      <charset val="1"/>
    </font>
    <font>
      <sz val="12"/>
      <color theme="1"/>
      <name val="Times New Roman"/>
      <family val="1"/>
      <charset val="1"/>
    </font>
  </fonts>
  <fills count="8">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indexed="64"/>
      </patternFill>
    </fill>
  </fills>
  <borders count="14">
    <border>
      <left/>
      <right/>
      <top/>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7" fillId="0" borderId="0" applyNumberFormat="0" applyFill="0" applyBorder="0" applyAlignment="0" applyProtection="0"/>
  </cellStyleXfs>
  <cellXfs count="64">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0" xfId="0" applyAlignment="1">
      <alignment wrapText="1"/>
    </xf>
    <xf numFmtId="14" fontId="0" fillId="0" borderId="0" xfId="0" applyNumberFormat="1"/>
    <xf numFmtId="0" fontId="0" fillId="0" borderId="0" xfId="0" applyAlignment="1">
      <alignment horizontal="right"/>
    </xf>
    <xf numFmtId="0" fontId="0" fillId="0" borderId="0" xfId="0" applyAlignment="1">
      <alignment horizontal="right" wrapText="1"/>
    </xf>
    <xf numFmtId="0" fontId="0" fillId="0" borderId="10" xfId="0" applyBorder="1"/>
    <xf numFmtId="0" fontId="4" fillId="0" borderId="10" xfId="0" applyFont="1" applyBorder="1"/>
    <xf numFmtId="0" fontId="0" fillId="0" borderId="0" xfId="0" pivotButton="1"/>
    <xf numFmtId="0" fontId="0" fillId="0" borderId="0" xfId="0" applyAlignment="1">
      <alignment horizontal="left"/>
    </xf>
    <xf numFmtId="0" fontId="0" fillId="4" borderId="0" xfId="0" applyFill="1"/>
    <xf numFmtId="0" fontId="0" fillId="4" borderId="0" xfId="0" applyFill="1" applyAlignment="1">
      <alignment wrapText="1"/>
    </xf>
    <xf numFmtId="0" fontId="0" fillId="5" borderId="0" xfId="0" applyFill="1"/>
    <xf numFmtId="0" fontId="0" fillId="0" borderId="0" xfId="0" pivotButton="1" applyAlignment="1">
      <alignment horizontal="center" vertical="center"/>
    </xf>
    <xf numFmtId="0" fontId="0" fillId="0" borderId="0" xfId="0" applyAlignment="1">
      <alignment horizontal="center" vertical="center" wrapText="1"/>
    </xf>
    <xf numFmtId="0" fontId="2" fillId="3" borderId="5" xfId="0" applyFont="1" applyFill="1" applyBorder="1"/>
    <xf numFmtId="0" fontId="0" fillId="2" borderId="13" xfId="0" applyFill="1" applyBorder="1"/>
    <xf numFmtId="0" fontId="0" fillId="0" borderId="13" xfId="0" applyBorder="1"/>
    <xf numFmtId="0" fontId="2" fillId="3" borderId="0" xfId="0" applyFont="1" applyFill="1"/>
    <xf numFmtId="0" fontId="11" fillId="4" borderId="10" xfId="0" applyFont="1" applyFill="1" applyBorder="1" applyAlignment="1">
      <alignment vertical="center"/>
    </xf>
    <xf numFmtId="0" fontId="0" fillId="4" borderId="10" xfId="0" applyFill="1" applyBorder="1" applyAlignment="1">
      <alignment vertical="center"/>
    </xf>
    <xf numFmtId="14" fontId="0" fillId="4" borderId="10" xfId="0" applyNumberFormat="1" applyFill="1" applyBorder="1" applyAlignment="1">
      <alignment vertical="center"/>
    </xf>
    <xf numFmtId="0" fontId="20" fillId="4" borderId="10" xfId="0" applyFont="1" applyFill="1" applyBorder="1" applyAlignment="1">
      <alignment vertical="center"/>
    </xf>
    <xf numFmtId="0" fontId="16" fillId="4" borderId="10" xfId="0" applyFont="1" applyFill="1" applyBorder="1" applyAlignment="1">
      <alignment vertical="center"/>
    </xf>
    <xf numFmtId="0" fontId="12" fillId="4" borderId="10" xfId="0" applyFont="1" applyFill="1" applyBorder="1" applyAlignment="1">
      <alignment vertical="center"/>
    </xf>
    <xf numFmtId="0" fontId="17" fillId="4" borderId="10" xfId="1" applyFont="1" applyFill="1" applyBorder="1" applyAlignment="1">
      <alignment vertical="center"/>
    </xf>
    <xf numFmtId="0" fontId="8" fillId="4" borderId="10" xfId="0" applyFont="1" applyFill="1" applyBorder="1" applyAlignment="1">
      <alignment vertical="center"/>
    </xf>
    <xf numFmtId="3" fontId="0" fillId="4" borderId="10" xfId="0" applyNumberFormat="1" applyFill="1" applyBorder="1" applyAlignment="1">
      <alignment vertical="center"/>
    </xf>
    <xf numFmtId="0" fontId="4" fillId="4" borderId="10" xfId="0" applyFont="1" applyFill="1" applyBorder="1" applyAlignment="1">
      <alignment vertical="center"/>
    </xf>
    <xf numFmtId="0" fontId="1" fillId="4" borderId="10" xfId="0" applyFont="1" applyFill="1" applyBorder="1" applyAlignment="1">
      <alignment vertical="center"/>
    </xf>
    <xf numFmtId="0" fontId="9" fillId="4" borderId="10" xfId="0" applyFont="1" applyFill="1" applyBorder="1" applyAlignment="1">
      <alignment vertical="center"/>
    </xf>
    <xf numFmtId="0" fontId="10" fillId="4" borderId="10" xfId="0" applyFont="1" applyFill="1" applyBorder="1" applyAlignment="1">
      <alignment vertical="center"/>
    </xf>
    <xf numFmtId="0" fontId="13" fillId="4" borderId="10" xfId="0" applyFont="1" applyFill="1" applyBorder="1" applyAlignment="1">
      <alignment vertical="center"/>
    </xf>
    <xf numFmtId="0" fontId="15" fillId="4" borderId="10" xfId="0" applyFont="1" applyFill="1" applyBorder="1" applyAlignment="1">
      <alignment vertical="center"/>
    </xf>
    <xf numFmtId="0" fontId="14" fillId="4" borderId="10" xfId="0" applyFont="1" applyFill="1" applyBorder="1" applyAlignment="1">
      <alignment vertical="center"/>
    </xf>
    <xf numFmtId="0" fontId="21" fillId="6" borderId="10" xfId="0" applyFont="1" applyFill="1" applyBorder="1" applyAlignment="1">
      <alignment horizontal="center" vertical="center"/>
    </xf>
    <xf numFmtId="0" fontId="22" fillId="6" borderId="10" xfId="0" applyFont="1" applyFill="1" applyBorder="1" applyAlignment="1">
      <alignment horizontal="center" vertical="center"/>
    </xf>
    <xf numFmtId="14" fontId="21" fillId="6" borderId="10" xfId="0" applyNumberFormat="1" applyFont="1" applyFill="1" applyBorder="1" applyAlignment="1">
      <alignment horizontal="center" vertical="center"/>
    </xf>
    <xf numFmtId="14" fontId="22" fillId="6" borderId="10" xfId="0" applyNumberFormat="1" applyFont="1" applyFill="1" applyBorder="1" applyAlignment="1">
      <alignment horizontal="center" vertical="center"/>
    </xf>
    <xf numFmtId="0" fontId="21" fillId="6" borderId="10" xfId="0" applyFont="1" applyFill="1" applyBorder="1" applyAlignment="1">
      <alignment horizontal="left" vertical="center"/>
    </xf>
    <xf numFmtId="9" fontId="0" fillId="4" borderId="10" xfId="0" applyNumberFormat="1" applyFill="1" applyBorder="1" applyAlignment="1">
      <alignment vertical="center"/>
    </xf>
    <xf numFmtId="0" fontId="0" fillId="4" borderId="10" xfId="0" applyFill="1" applyBorder="1" applyAlignment="1">
      <alignment vertical="center" wrapText="1"/>
    </xf>
    <xf numFmtId="0" fontId="0" fillId="4" borderId="10" xfId="0" applyFill="1" applyBorder="1" applyAlignment="1">
      <alignment horizontal="left" vertical="center"/>
    </xf>
    <xf numFmtId="0" fontId="23" fillId="0" borderId="0" xfId="0" applyFont="1"/>
    <xf numFmtId="0" fontId="0" fillId="4" borderId="11" xfId="0" applyFill="1" applyBorder="1" applyAlignment="1">
      <alignment vertical="center"/>
    </xf>
    <xf numFmtId="0" fontId="24" fillId="0" borderId="0" xfId="0" applyFont="1"/>
    <xf numFmtId="0" fontId="0" fillId="7" borderId="12" xfId="0" applyFill="1" applyBorder="1" applyAlignment="1">
      <alignment vertical="center"/>
    </xf>
    <xf numFmtId="0" fontId="0" fillId="7" borderId="10" xfId="0" applyFill="1" applyBorder="1" applyAlignment="1">
      <alignment vertical="center"/>
    </xf>
    <xf numFmtId="14" fontId="0" fillId="7" borderId="10" xfId="0" applyNumberFormat="1" applyFill="1" applyBorder="1" applyAlignment="1">
      <alignment vertical="center"/>
    </xf>
    <xf numFmtId="0" fontId="0" fillId="7" borderId="11" xfId="0" applyFill="1" applyBorder="1" applyAlignment="1">
      <alignment vertical="center"/>
    </xf>
    <xf numFmtId="0" fontId="0" fillId="5" borderId="0" xfId="0" applyFill="1" applyAlignment="1">
      <alignment horizontal="center"/>
    </xf>
    <xf numFmtId="0" fontId="6" fillId="4" borderId="5" xfId="0" applyFont="1" applyFill="1" applyBorder="1" applyAlignment="1">
      <alignment horizontal="center" wrapText="1"/>
    </xf>
    <xf numFmtId="0" fontId="6" fillId="4" borderId="0" xfId="0" applyFont="1" applyFill="1" applyAlignment="1">
      <alignment horizontal="center" wrapText="1"/>
    </xf>
    <xf numFmtId="0" fontId="5" fillId="0" borderId="11" xfId="0" applyFont="1" applyBorder="1" applyAlignment="1">
      <alignment horizontal="center" wrapText="1"/>
    </xf>
    <xf numFmtId="0" fontId="5" fillId="0" borderId="12" xfId="0" applyFont="1" applyBorder="1" applyAlignment="1">
      <alignment horizontal="center" wrapText="1"/>
    </xf>
    <xf numFmtId="0" fontId="5" fillId="0" borderId="10" xfId="0" applyFont="1" applyBorder="1" applyAlignment="1">
      <alignment horizontal="center"/>
    </xf>
  </cellXfs>
  <cellStyles count="2">
    <cellStyle name="Hyperlink" xfId="1" xr:uid="{00000000-000B-0000-0000-000008000000}"/>
    <cellStyle name="Normal" xfId="0" builtinId="0"/>
  </cellStyles>
  <dxfs count="32">
    <dxf>
      <alignment horizontal="general" vertical="bottom" textRotation="0" wrapText="1" indent="0" justifyLastLine="0" shrinkToFit="0" readingOrder="0"/>
    </dxf>
    <dxf>
      <alignment horizontal="general" vertical="bottom" textRotation="0" wrapText="1" indent="0" justifyLastLine="0" shrinkToFit="0" readingOrder="0"/>
    </dxf>
    <dxf>
      <border outline="0">
        <bottom style="thin">
          <color rgb="FF000000"/>
        </bottom>
      </border>
    </dxf>
    <dxf>
      <border diagonalUp="0" diagonalDown="0" outline="0">
        <left style="thin">
          <color rgb="FF000000"/>
        </left>
        <right style="thin">
          <color rgb="FF000000"/>
        </right>
        <top/>
        <bottom/>
      </border>
    </dxf>
    <dxf>
      <font>
        <strike val="0"/>
        <outline val="0"/>
        <shadow val="0"/>
        <u val="none"/>
        <vertAlign val="baseline"/>
        <family val="2"/>
      </font>
      <fill>
        <patternFill patternType="solid">
          <fgColor indexed="64"/>
          <bgColor theme="0"/>
        </patternFill>
      </fill>
      <alignment vertical="center" wrapText="0"/>
      <border diagonalUp="0" diagonalDown="0">
        <left style="thin">
          <color indexed="64"/>
        </left>
        <right/>
        <top style="thin">
          <color indexed="64"/>
        </top>
        <bottom style="thin">
          <color indexed="64"/>
        </bottom>
        <vertical style="thin">
          <color indexed="64"/>
        </vertical>
        <horizontal style="thin">
          <color indexed="64"/>
        </horizontal>
      </border>
    </dxf>
    <dxf>
      <font>
        <strike val="0"/>
        <outline val="0"/>
        <shadow val="0"/>
        <u val="none"/>
        <vertAlign val="baseline"/>
      </font>
      <fill>
        <patternFill patternType="solid">
          <fgColor indexed="64"/>
          <bgColor theme="0"/>
        </patternFill>
      </fill>
      <alignment vertical="center" wrapTex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font>
      <fill>
        <patternFill patternType="solid">
          <fgColor indexed="64"/>
          <bgColor theme="0"/>
        </patternFill>
      </fill>
      <alignment vertical="center" wrapTex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font>
      <fill>
        <patternFill patternType="solid">
          <fgColor indexed="64"/>
          <bgColor theme="0"/>
        </patternFill>
      </fill>
      <alignment vertical="center" wrapTex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ptos Narrow"/>
        <family val="2"/>
        <scheme val="minor"/>
      </font>
      <numFmt numFmtId="19" formatCode="dd/mm/yyyy"/>
      <fill>
        <patternFill patternType="solid">
          <fgColor indexed="64"/>
          <bgColor theme="0"/>
        </patternFill>
      </fill>
      <alignment vertical="center" wrapTex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theme="1"/>
      </font>
      <numFmt numFmtId="19" formatCode="dd/mm/yyyy"/>
      <fill>
        <patternFill patternType="solid">
          <fgColor indexed="64"/>
          <bgColor theme="0"/>
        </patternFill>
      </fill>
      <alignment vertical="center" wrapTex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ptos Narrow"/>
        <family val="2"/>
        <scheme val="minor"/>
      </font>
      <numFmt numFmtId="164" formatCode="d/mm/yyyy"/>
      <fill>
        <patternFill patternType="solid">
          <fgColor indexed="64"/>
          <bgColor theme="0"/>
        </patternFill>
      </fill>
      <alignment vertical="center" wrapTex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Aptos Narrow"/>
        <family val="2"/>
        <scheme val="minor"/>
      </font>
      <numFmt numFmtId="164" formatCode="d/mm/yyyy"/>
      <fill>
        <patternFill patternType="solid">
          <fgColor indexed="64"/>
          <bgColor theme="0"/>
        </patternFill>
      </fill>
      <alignment vertical="center" wrapTex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font>
      <numFmt numFmtId="164" formatCode="d/mm/yyyy"/>
      <fill>
        <patternFill patternType="solid">
          <fgColor indexed="64"/>
          <bgColor theme="0"/>
        </patternFill>
      </fill>
      <alignment vertical="center" wrapTex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font>
      <fill>
        <patternFill patternType="solid">
          <fgColor indexed="64"/>
          <bgColor theme="0"/>
        </patternFill>
      </fill>
      <alignment vertical="center" wrapTex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font>
      <fill>
        <patternFill patternType="solid">
          <fgColor indexed="64"/>
          <bgColor theme="0"/>
        </patternFill>
      </fill>
      <alignment vertical="center" wrapTex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font>
      <fill>
        <patternFill patternType="solid">
          <fgColor indexed="64"/>
          <bgColor theme="0"/>
        </patternFill>
      </fill>
      <alignment vertical="center" wrapTex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font>
      <fill>
        <patternFill patternType="solid">
          <fgColor indexed="64"/>
          <bgColor theme="0"/>
        </patternFill>
      </fill>
      <alignment vertical="center" wrapTex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strike val="0"/>
        <outline val="0"/>
        <shadow val="0"/>
        <u val="none"/>
        <vertAlign val="baseline"/>
      </font>
      <fill>
        <patternFill patternType="solid">
          <fgColor indexed="64"/>
          <bgColor theme="0"/>
        </patternFill>
      </fill>
      <alignment vertical="center" wrapTex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font>
      <fill>
        <patternFill patternType="solid">
          <fgColor indexed="64"/>
          <bgColor theme="0"/>
        </patternFill>
      </fill>
      <alignment vertical="center" wrapText="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font>
      <fill>
        <patternFill patternType="solid">
          <fgColor indexed="64"/>
          <bgColor theme="0"/>
        </patternFill>
      </fill>
      <alignment horizontal="general"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7558519241921"/>
        </bottom>
      </border>
    </dxf>
    <dxf>
      <border outline="0">
        <left style="thin">
          <color theme="4" tint="0.39997558519241921"/>
        </left>
        <top style="thin">
          <color theme="4" tint="0.39997558519241921"/>
        </top>
      </border>
    </dxf>
    <dxf>
      <font>
        <strike val="0"/>
        <outline val="0"/>
        <shadow val="0"/>
        <u val="none"/>
        <vertAlign val="baseline"/>
        <family val="2"/>
      </font>
      <fill>
        <patternFill patternType="solid">
          <fgColor indexed="64"/>
          <bgColor theme="0"/>
        </patternFill>
      </fill>
      <alignment vertical="center" wrapText="0"/>
    </dxf>
    <dxf>
      <font>
        <b/>
        <i val="0"/>
        <strike val="0"/>
        <condense val="0"/>
        <extend val="0"/>
        <outline val="0"/>
        <shadow val="0"/>
        <u val="none"/>
        <vertAlign val="baseline"/>
        <sz val="14"/>
        <color theme="1"/>
        <name val="Aptos Narrow"/>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right" vertical="bottom" textRotation="0" wrapText="0" indent="0" justifyLastLine="0" shrinkToFit="0" readingOrder="0"/>
    </dxf>
    <dxf>
      <alignment wrapText="1"/>
    </dxf>
    <dxf>
      <alignment vertical="center"/>
    </dxf>
    <dxf>
      <alignment vertical="center"/>
    </dxf>
    <dxf>
      <alignment horizontal="center"/>
    </dxf>
    <dxf>
      <alignment horizont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5"/>
    </mc:Choice>
    <mc:Fallback>
      <c:style val="5"/>
    </mc:Fallback>
  </mc:AlternateContent>
  <c:pivotSource>
    <c:name>[Control Asesorías Tesis 1.xlsm]Insumo_Análisis_Indicadores!TablaDinámica2</c:name>
    <c:fmtId val="5"/>
  </c:pivotSource>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s-CO"/>
              <a:t>Modalidad Asesoría</a:t>
            </a:r>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CO"/>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pivotFmt>
      <c:pivotFmt>
        <c:idx val="4"/>
      </c:pivotFmt>
      <c:pivotFmt>
        <c:idx val="5"/>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1"/>
          <c:showBubbleSize val="0"/>
          <c:extLst>
            <c:ext xmlns:c15="http://schemas.microsoft.com/office/drawing/2012/chart" uri="{CE6537A1-D6FC-4f65-9D91-7224C49458BB}"/>
          </c:extLst>
        </c:dLbl>
      </c:pivotFmt>
      <c:pivotFmt>
        <c:idx val="6"/>
        <c:spPr>
          <a:pattFill prst="ltUpDiag">
            <a:fgClr>
              <a:schemeClr val="accent3">
                <a:shade val="65000"/>
              </a:schemeClr>
            </a:fgClr>
            <a:bgClr>
              <a:schemeClr val="accent3">
                <a:shade val="65000"/>
                <a:lumMod val="20000"/>
                <a:lumOff val="80000"/>
              </a:schemeClr>
            </a:bgClr>
          </a:pattFill>
          <a:ln w="19050">
            <a:solidFill>
              <a:schemeClr val="lt1"/>
            </a:solidFill>
          </a:ln>
          <a:effectLst>
            <a:innerShdw blurRad="114300">
              <a:schemeClr val="accent3">
                <a:shade val="65000"/>
              </a:schemeClr>
            </a:innerShdw>
          </a:effectLst>
        </c:spPr>
      </c:pivotFmt>
      <c:pivotFmt>
        <c:idx val="7"/>
        <c:spPr>
          <a:pattFill prst="ltUpDiag">
            <a:fgClr>
              <a:schemeClr val="accent3">
                <a:tint val="77000"/>
              </a:schemeClr>
            </a:fgClr>
            <a:bgClr>
              <a:schemeClr val="accent3">
                <a:tint val="77000"/>
                <a:lumMod val="20000"/>
                <a:lumOff val="80000"/>
              </a:schemeClr>
            </a:bgClr>
          </a:pattFill>
          <a:ln w="19050">
            <a:solidFill>
              <a:schemeClr val="lt1"/>
            </a:solidFill>
          </a:ln>
          <a:effectLst>
            <a:innerShdw blurRad="114300">
              <a:schemeClr val="accent3">
                <a:tint val="77000"/>
              </a:schemeClr>
            </a:innerShdw>
          </a:effectLst>
        </c:spPr>
      </c:pivotFmt>
      <c:pivotFmt>
        <c:idx val="8"/>
        <c:spPr>
          <a:pattFill prst="ltUpDiag">
            <a:fgClr>
              <a:schemeClr val="accent3">
                <a:tint val="65000"/>
              </a:schemeClr>
            </a:fgClr>
            <a:bgClr>
              <a:schemeClr val="accent3">
                <a:tint val="65000"/>
                <a:lumMod val="20000"/>
                <a:lumOff val="80000"/>
              </a:schemeClr>
            </a:bgClr>
          </a:pattFill>
          <a:ln w="19050">
            <a:solidFill>
              <a:schemeClr val="lt1"/>
            </a:solidFill>
          </a:ln>
          <a:effectLst>
            <a:innerShdw blurRad="114300">
              <a:schemeClr val="accent3">
                <a:tint val="65000"/>
              </a:schemeClr>
            </a:innerShdw>
          </a:effectLst>
        </c:spPr>
      </c:pivotFmt>
      <c:pivotFmt>
        <c:idx val="9"/>
        <c:spPr>
          <a:pattFill prst="ltUpDiag">
            <a:fgClr>
              <a:schemeClr val="accent3">
                <a:tint val="58000"/>
              </a:schemeClr>
            </a:fgClr>
            <a:bgClr>
              <a:schemeClr val="accent3">
                <a:tint val="58000"/>
                <a:lumMod val="20000"/>
                <a:lumOff val="80000"/>
              </a:schemeClr>
            </a:bgClr>
          </a:pattFill>
          <a:ln w="19050">
            <a:solidFill>
              <a:schemeClr val="lt1"/>
            </a:solidFill>
          </a:ln>
          <a:effectLst>
            <a:innerShdw blurRad="114300">
              <a:schemeClr val="accent3">
                <a:tint val="58000"/>
              </a:schemeClr>
            </a:innerShdw>
          </a:effectLst>
        </c:spPr>
      </c:pivotFmt>
    </c:pivotFmts>
    <c:plotArea>
      <c:layout/>
      <c:doughnutChart>
        <c:varyColors val="1"/>
        <c:ser>
          <c:idx val="0"/>
          <c:order val="0"/>
          <c:tx>
            <c:strRef>
              <c:f>Insumo_Análisis_Indicadores!$S$1</c:f>
              <c:strCache>
                <c:ptCount val="1"/>
                <c:pt idx="0">
                  <c:v>Total</c:v>
                </c:pt>
              </c:strCache>
            </c:strRef>
          </c:tx>
          <c:dPt>
            <c:idx val="0"/>
            <c:bubble3D val="0"/>
            <c:spPr>
              <a:pattFill prst="ltUpDiag">
                <a:fgClr>
                  <a:schemeClr val="accent3">
                    <a:shade val="65000"/>
                  </a:schemeClr>
                </a:fgClr>
                <a:bgClr>
                  <a:schemeClr val="accent3">
                    <a:shade val="65000"/>
                    <a:lumMod val="20000"/>
                    <a:lumOff val="80000"/>
                  </a:schemeClr>
                </a:bgClr>
              </a:pattFill>
              <a:ln w="19050">
                <a:solidFill>
                  <a:schemeClr val="lt1"/>
                </a:solidFill>
              </a:ln>
              <a:effectLst>
                <a:innerShdw blurRad="114300">
                  <a:schemeClr val="accent3">
                    <a:shade val="65000"/>
                  </a:schemeClr>
                </a:innerShdw>
              </a:effectLst>
            </c:spPr>
            <c:extLst>
              <c:ext xmlns:c16="http://schemas.microsoft.com/office/drawing/2014/chart" uri="{C3380CC4-5D6E-409C-BE32-E72D297353CC}">
                <c16:uniqueId val="{00000001-7096-408A-A2D4-183E6396EC52}"/>
              </c:ext>
            </c:extLst>
          </c:dPt>
          <c:dPt>
            <c:idx val="1"/>
            <c:bubble3D val="0"/>
            <c:spPr>
              <a:pattFill prst="ltUpDiag">
                <a:fgClr>
                  <a:schemeClr val="accent3">
                    <a:tint val="77000"/>
                  </a:schemeClr>
                </a:fgClr>
                <a:bgClr>
                  <a:schemeClr val="accent3">
                    <a:tint val="77000"/>
                    <a:lumMod val="20000"/>
                    <a:lumOff val="80000"/>
                  </a:schemeClr>
                </a:bgClr>
              </a:pattFill>
              <a:ln w="19050">
                <a:solidFill>
                  <a:schemeClr val="lt1"/>
                </a:solidFill>
              </a:ln>
              <a:effectLst>
                <a:innerShdw blurRad="114300">
                  <a:schemeClr val="accent3">
                    <a:tint val="77000"/>
                  </a:schemeClr>
                </a:innerShdw>
              </a:effectLst>
            </c:spPr>
            <c:extLst>
              <c:ext xmlns:c16="http://schemas.microsoft.com/office/drawing/2014/chart" uri="{C3380CC4-5D6E-409C-BE32-E72D297353CC}">
                <c16:uniqueId val="{00000003-7096-408A-A2D4-183E6396EC52}"/>
              </c:ext>
            </c:extLst>
          </c:dPt>
          <c:dPt>
            <c:idx val="2"/>
            <c:bubble3D val="0"/>
            <c:spPr>
              <a:pattFill prst="ltUpDiag">
                <a:fgClr>
                  <a:schemeClr val="accent3">
                    <a:tint val="65000"/>
                  </a:schemeClr>
                </a:fgClr>
                <a:bgClr>
                  <a:schemeClr val="accent3">
                    <a:tint val="65000"/>
                    <a:lumMod val="20000"/>
                    <a:lumOff val="80000"/>
                  </a:schemeClr>
                </a:bgClr>
              </a:pattFill>
              <a:ln w="19050">
                <a:solidFill>
                  <a:schemeClr val="lt1"/>
                </a:solidFill>
              </a:ln>
              <a:effectLst>
                <a:innerShdw blurRad="114300">
                  <a:schemeClr val="accent3">
                    <a:tint val="65000"/>
                  </a:schemeClr>
                </a:innerShdw>
              </a:effectLst>
            </c:spPr>
            <c:extLst>
              <c:ext xmlns:c16="http://schemas.microsoft.com/office/drawing/2014/chart" uri="{C3380CC4-5D6E-409C-BE32-E72D297353CC}">
                <c16:uniqueId val="{00000005-0278-4675-B5FB-5F1B30A7724C}"/>
              </c:ext>
            </c:extLst>
          </c:dPt>
          <c:dPt>
            <c:idx val="3"/>
            <c:bubble3D val="0"/>
            <c:spPr>
              <a:pattFill prst="ltUpDiag">
                <a:fgClr>
                  <a:schemeClr val="accent3">
                    <a:tint val="58000"/>
                  </a:schemeClr>
                </a:fgClr>
                <a:bgClr>
                  <a:schemeClr val="accent3">
                    <a:tint val="58000"/>
                    <a:lumMod val="20000"/>
                    <a:lumOff val="80000"/>
                  </a:schemeClr>
                </a:bgClr>
              </a:pattFill>
              <a:ln w="19050">
                <a:solidFill>
                  <a:schemeClr val="lt1"/>
                </a:solidFill>
              </a:ln>
              <a:effectLst>
                <a:innerShdw blurRad="114300">
                  <a:schemeClr val="accent3">
                    <a:tint val="58000"/>
                  </a:schemeClr>
                </a:innerShdw>
              </a:effectLst>
            </c:spPr>
            <c:extLst>
              <c:ext xmlns:c16="http://schemas.microsoft.com/office/drawing/2014/chart" uri="{C3380CC4-5D6E-409C-BE32-E72D297353CC}">
                <c16:uniqueId val="{00000007-B121-41A5-B888-DB02276CD95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Insumo_Análisis_Indicadores!$R$2:$R$6</c:f>
              <c:strCache>
                <c:ptCount val="4"/>
                <c:pt idx="0">
                  <c:v>Presencial</c:v>
                </c:pt>
                <c:pt idx="1">
                  <c:v>Virtual</c:v>
                </c:pt>
                <c:pt idx="2">
                  <c:v>(en blanco)</c:v>
                </c:pt>
                <c:pt idx="3">
                  <c:v>A Distancia </c:v>
                </c:pt>
              </c:strCache>
            </c:strRef>
          </c:cat>
          <c:val>
            <c:numRef>
              <c:f>Insumo_Análisis_Indicadores!$S$2:$S$6</c:f>
              <c:numCache>
                <c:formatCode>General</c:formatCode>
                <c:ptCount val="4"/>
                <c:pt idx="0">
                  <c:v>7</c:v>
                </c:pt>
                <c:pt idx="1">
                  <c:v>44</c:v>
                </c:pt>
              </c:numCache>
            </c:numRef>
          </c:val>
          <c:extLst>
            <c:ext xmlns:c16="http://schemas.microsoft.com/office/drawing/2014/chart" uri="{C3380CC4-5D6E-409C-BE32-E72D297353CC}">
              <c16:uniqueId val="{00000004-7096-408A-A2D4-183E6396EC52}"/>
            </c:ext>
          </c:extLst>
        </c:ser>
        <c:dLbls>
          <c:showLegendKey val="0"/>
          <c:showVal val="1"/>
          <c:showCatName val="0"/>
          <c:showSerName val="0"/>
          <c:showPercent val="0"/>
          <c:showBubbleSize val="0"/>
          <c:showLeaderLines val="1"/>
        </c:dLbls>
        <c:firstSliceAng val="0"/>
        <c:holeSize val="7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5"/>
    </mc:Choice>
    <mc:Fallback>
      <c:style val="5"/>
    </mc:Fallback>
  </mc:AlternateContent>
  <c:pivotSource>
    <c:name>[Control Asesorías Tesis 1.xlsm]Insumo_Análisis_Indicadores!TablaDinámica10</c:name>
    <c:fmtId val="9"/>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s-CO"/>
              <a:t>Número de Asesorías por Facultad</a:t>
            </a:r>
          </a:p>
        </c:rich>
      </c:tx>
      <c:layout>
        <c:manualLayout>
          <c:xMode val="edge"/>
          <c:yMode val="edge"/>
          <c:x val="0.23414113556239802"/>
          <c:y val="5.6496137134038234E-2"/>
        </c:manualLayout>
      </c:layout>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s-CO"/>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flip="none" rotWithShape="1">
            <a:gsLst>
              <a:gs pos="0">
                <a:schemeClr val="accent3"/>
              </a:gs>
              <a:gs pos="75000">
                <a:schemeClr val="accent3">
                  <a:lumMod val="60000"/>
                  <a:lumOff val="40000"/>
                </a:schemeClr>
              </a:gs>
              <a:gs pos="51000">
                <a:schemeClr val="accent3">
                  <a:alpha val="75000"/>
                </a:schemeClr>
              </a:gs>
              <a:gs pos="100000">
                <a:schemeClr val="accent3">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flip="none" rotWithShape="1">
            <a:gsLst>
              <a:gs pos="0">
                <a:schemeClr val="accent3"/>
              </a:gs>
              <a:gs pos="75000">
                <a:schemeClr val="accent3">
                  <a:lumMod val="60000"/>
                  <a:lumOff val="40000"/>
                </a:schemeClr>
              </a:gs>
              <a:gs pos="51000">
                <a:schemeClr val="accent3">
                  <a:alpha val="75000"/>
                </a:schemeClr>
              </a:gs>
              <a:gs pos="100000">
                <a:schemeClr val="accent3">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flip="none" rotWithShape="1">
            <a:gsLst>
              <a:gs pos="0">
                <a:schemeClr val="accent3"/>
              </a:gs>
              <a:gs pos="75000">
                <a:schemeClr val="accent3">
                  <a:lumMod val="60000"/>
                  <a:lumOff val="40000"/>
                </a:schemeClr>
              </a:gs>
              <a:gs pos="51000">
                <a:schemeClr val="accent3">
                  <a:alpha val="75000"/>
                </a:schemeClr>
              </a:gs>
              <a:gs pos="100000">
                <a:schemeClr val="accent3">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flip="none" rotWithShape="1">
            <a:gsLst>
              <a:gs pos="0">
                <a:schemeClr val="accent3"/>
              </a:gs>
              <a:gs pos="75000">
                <a:schemeClr val="accent3">
                  <a:lumMod val="60000"/>
                  <a:lumOff val="40000"/>
                </a:schemeClr>
              </a:gs>
              <a:gs pos="51000">
                <a:schemeClr val="accent3">
                  <a:alpha val="75000"/>
                </a:schemeClr>
              </a:gs>
              <a:gs pos="100000">
                <a:schemeClr val="accent3">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gradFill flip="none" rotWithShape="1">
            <a:gsLst>
              <a:gs pos="0">
                <a:schemeClr val="accent3"/>
              </a:gs>
              <a:gs pos="75000">
                <a:schemeClr val="accent3">
                  <a:lumMod val="60000"/>
                  <a:lumOff val="40000"/>
                </a:schemeClr>
              </a:gs>
              <a:gs pos="51000">
                <a:schemeClr val="accent3">
                  <a:alpha val="75000"/>
                </a:schemeClr>
              </a:gs>
              <a:gs pos="100000">
                <a:schemeClr val="accent3">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gradFill flip="none" rotWithShape="1">
            <a:gsLst>
              <a:gs pos="0">
                <a:schemeClr val="accent3"/>
              </a:gs>
              <a:gs pos="75000">
                <a:schemeClr val="accent3">
                  <a:lumMod val="60000"/>
                  <a:lumOff val="40000"/>
                </a:schemeClr>
              </a:gs>
              <a:gs pos="51000">
                <a:schemeClr val="accent3">
                  <a:alpha val="75000"/>
                </a:schemeClr>
              </a:gs>
              <a:gs pos="100000">
                <a:schemeClr val="accent3">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flip="none" rotWithShape="1">
            <a:gsLst>
              <a:gs pos="0">
                <a:schemeClr val="accent3"/>
              </a:gs>
              <a:gs pos="75000">
                <a:schemeClr val="accent3">
                  <a:lumMod val="60000"/>
                  <a:lumOff val="40000"/>
                </a:schemeClr>
              </a:gs>
              <a:gs pos="51000">
                <a:schemeClr val="accent3">
                  <a:alpha val="75000"/>
                </a:schemeClr>
              </a:gs>
              <a:gs pos="100000">
                <a:schemeClr val="accent3">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gradFill flip="none" rotWithShape="1">
            <a:gsLst>
              <a:gs pos="0">
                <a:schemeClr val="accent3"/>
              </a:gs>
              <a:gs pos="75000">
                <a:schemeClr val="accent3">
                  <a:lumMod val="60000"/>
                  <a:lumOff val="40000"/>
                </a:schemeClr>
              </a:gs>
              <a:gs pos="51000">
                <a:schemeClr val="accent3">
                  <a:alpha val="75000"/>
                </a:schemeClr>
              </a:gs>
              <a:gs pos="100000">
                <a:schemeClr val="accent3">
                  <a:lumMod val="20000"/>
                  <a:lumOff val="80000"/>
                  <a:alpha val="15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9379867698316059E-2"/>
          <c:y val="0.27457433129540021"/>
          <c:w val="0.92982290148117042"/>
          <c:h val="0.61641647149177203"/>
        </c:manualLayout>
      </c:layout>
      <c:barChart>
        <c:barDir val="col"/>
        <c:grouping val="clustered"/>
        <c:varyColors val="0"/>
        <c:ser>
          <c:idx val="0"/>
          <c:order val="0"/>
          <c:tx>
            <c:strRef>
              <c:f>Insumo_Análisis_Indicadores!$I$13:$I$14</c:f>
              <c:strCache>
                <c:ptCount val="1"/>
                <c:pt idx="0">
                  <c:v>Facultad_Ciencias_Contables_Económicas_Administrativas</c:v>
                </c:pt>
              </c:strCache>
            </c:strRef>
          </c:tx>
          <c:spPr>
            <a:gradFill flip="none" rotWithShape="1">
              <a:gsLst>
                <a:gs pos="0">
                  <a:schemeClr val="accent3">
                    <a:shade val="50000"/>
                  </a:schemeClr>
                </a:gs>
                <a:gs pos="75000">
                  <a:schemeClr val="accent3">
                    <a:shade val="50000"/>
                    <a:lumMod val="60000"/>
                    <a:lumOff val="40000"/>
                  </a:schemeClr>
                </a:gs>
                <a:gs pos="51000">
                  <a:schemeClr val="accent3">
                    <a:shade val="50000"/>
                    <a:alpha val="75000"/>
                  </a:schemeClr>
                </a:gs>
                <a:gs pos="100000">
                  <a:schemeClr val="accent3">
                    <a:shade val="50000"/>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Insumo_Análisis_Indicadores!$H$15</c:f>
              <c:strCache>
                <c:ptCount val="1"/>
                <c:pt idx="0">
                  <c:v>Total</c:v>
                </c:pt>
              </c:strCache>
            </c:strRef>
          </c:cat>
          <c:val>
            <c:numRef>
              <c:f>Insumo_Análisis_Indicadores!$I$15</c:f>
              <c:numCache>
                <c:formatCode>General</c:formatCode>
                <c:ptCount val="1"/>
                <c:pt idx="0">
                  <c:v>7</c:v>
                </c:pt>
              </c:numCache>
            </c:numRef>
          </c:val>
          <c:extLst>
            <c:ext xmlns:c16="http://schemas.microsoft.com/office/drawing/2014/chart" uri="{C3380CC4-5D6E-409C-BE32-E72D297353CC}">
              <c16:uniqueId val="{00000000-6271-4E90-AF13-31B6AFDC5DEA}"/>
            </c:ext>
          </c:extLst>
        </c:ser>
        <c:ser>
          <c:idx val="1"/>
          <c:order val="1"/>
          <c:tx>
            <c:strRef>
              <c:f>Insumo_Análisis_Indicadores!$J$13:$J$14</c:f>
              <c:strCache>
                <c:ptCount val="1"/>
                <c:pt idx="0">
                  <c:v>Facultad_Ciencias_Ingenierías</c:v>
                </c:pt>
              </c:strCache>
            </c:strRef>
          </c:tx>
          <c:spPr>
            <a:gradFill flip="none" rotWithShape="1">
              <a:gsLst>
                <a:gs pos="0">
                  <a:schemeClr val="accent3">
                    <a:shade val="70000"/>
                  </a:schemeClr>
                </a:gs>
                <a:gs pos="75000">
                  <a:schemeClr val="accent3">
                    <a:shade val="70000"/>
                    <a:lumMod val="60000"/>
                    <a:lumOff val="40000"/>
                  </a:schemeClr>
                </a:gs>
                <a:gs pos="51000">
                  <a:schemeClr val="accent3">
                    <a:shade val="70000"/>
                    <a:alpha val="75000"/>
                  </a:schemeClr>
                </a:gs>
                <a:gs pos="100000">
                  <a:schemeClr val="accent3">
                    <a:shade val="70000"/>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Insumo_Análisis_Indicadores!$H$15</c:f>
              <c:strCache>
                <c:ptCount val="1"/>
                <c:pt idx="0">
                  <c:v>Total</c:v>
                </c:pt>
              </c:strCache>
            </c:strRef>
          </c:cat>
          <c:val>
            <c:numRef>
              <c:f>Insumo_Análisis_Indicadores!$J$15</c:f>
              <c:numCache>
                <c:formatCode>General</c:formatCode>
                <c:ptCount val="1"/>
                <c:pt idx="0">
                  <c:v>16</c:v>
                </c:pt>
              </c:numCache>
            </c:numRef>
          </c:val>
          <c:extLst>
            <c:ext xmlns:c16="http://schemas.microsoft.com/office/drawing/2014/chart" uri="{C3380CC4-5D6E-409C-BE32-E72D297353CC}">
              <c16:uniqueId val="{00000005-EF53-4B99-A605-27051EA2E100}"/>
            </c:ext>
          </c:extLst>
        </c:ser>
        <c:ser>
          <c:idx val="2"/>
          <c:order val="2"/>
          <c:tx>
            <c:strRef>
              <c:f>Insumo_Análisis_Indicadores!$K$13:$K$14</c:f>
              <c:strCache>
                <c:ptCount val="1"/>
                <c:pt idx="0">
                  <c:v>Facultad_Ciencias_Jurídicas</c:v>
                </c:pt>
              </c:strCache>
            </c:strRef>
          </c:tx>
          <c:spPr>
            <a:gradFill flip="none" rotWithShape="1">
              <a:gsLst>
                <a:gs pos="0">
                  <a:schemeClr val="accent3">
                    <a:shade val="90000"/>
                  </a:schemeClr>
                </a:gs>
                <a:gs pos="75000">
                  <a:schemeClr val="accent3">
                    <a:shade val="90000"/>
                    <a:lumMod val="60000"/>
                    <a:lumOff val="40000"/>
                  </a:schemeClr>
                </a:gs>
                <a:gs pos="51000">
                  <a:schemeClr val="accent3">
                    <a:shade val="90000"/>
                    <a:alpha val="75000"/>
                  </a:schemeClr>
                </a:gs>
                <a:gs pos="100000">
                  <a:schemeClr val="accent3">
                    <a:shade val="90000"/>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Insumo_Análisis_Indicadores!$H$15</c:f>
              <c:strCache>
                <c:ptCount val="1"/>
                <c:pt idx="0">
                  <c:v>Total</c:v>
                </c:pt>
              </c:strCache>
            </c:strRef>
          </c:cat>
          <c:val>
            <c:numRef>
              <c:f>Insumo_Análisis_Indicadores!$K$15</c:f>
              <c:numCache>
                <c:formatCode>General</c:formatCode>
                <c:ptCount val="1"/>
                <c:pt idx="0">
                  <c:v>4</c:v>
                </c:pt>
              </c:numCache>
            </c:numRef>
          </c:val>
          <c:extLst>
            <c:ext xmlns:c16="http://schemas.microsoft.com/office/drawing/2014/chart" uri="{C3380CC4-5D6E-409C-BE32-E72D297353CC}">
              <c16:uniqueId val="{00000006-EF53-4B99-A605-27051EA2E100}"/>
            </c:ext>
          </c:extLst>
        </c:ser>
        <c:ser>
          <c:idx val="3"/>
          <c:order val="3"/>
          <c:tx>
            <c:strRef>
              <c:f>Insumo_Análisis_Indicadores!$L$13:$L$14</c:f>
              <c:strCache>
                <c:ptCount val="1"/>
                <c:pt idx="0">
                  <c:v>Facultad_Ciencias_Sociales_Humanas</c:v>
                </c:pt>
              </c:strCache>
            </c:strRef>
          </c:tx>
          <c:spPr>
            <a:gradFill flip="none" rotWithShape="1">
              <a:gsLst>
                <a:gs pos="0">
                  <a:schemeClr val="accent3">
                    <a:tint val="90000"/>
                  </a:schemeClr>
                </a:gs>
                <a:gs pos="75000">
                  <a:schemeClr val="accent3">
                    <a:tint val="90000"/>
                    <a:lumMod val="60000"/>
                    <a:lumOff val="40000"/>
                  </a:schemeClr>
                </a:gs>
                <a:gs pos="51000">
                  <a:schemeClr val="accent3">
                    <a:tint val="90000"/>
                    <a:alpha val="75000"/>
                  </a:schemeClr>
                </a:gs>
                <a:gs pos="100000">
                  <a:schemeClr val="accent3">
                    <a:tint val="90000"/>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Insumo_Análisis_Indicadores!$H$15</c:f>
              <c:strCache>
                <c:ptCount val="1"/>
                <c:pt idx="0">
                  <c:v>Total</c:v>
                </c:pt>
              </c:strCache>
            </c:strRef>
          </c:cat>
          <c:val>
            <c:numRef>
              <c:f>Insumo_Análisis_Indicadores!$L$15</c:f>
              <c:numCache>
                <c:formatCode>General</c:formatCode>
                <c:ptCount val="1"/>
                <c:pt idx="0">
                  <c:v>23</c:v>
                </c:pt>
              </c:numCache>
            </c:numRef>
          </c:val>
          <c:extLst>
            <c:ext xmlns:c16="http://schemas.microsoft.com/office/drawing/2014/chart" uri="{C3380CC4-5D6E-409C-BE32-E72D297353CC}">
              <c16:uniqueId val="{00000001-4D6E-4F0A-B103-14487C22E55D}"/>
            </c:ext>
          </c:extLst>
        </c:ser>
        <c:ser>
          <c:idx val="4"/>
          <c:order val="4"/>
          <c:tx>
            <c:strRef>
              <c:f>Insumo_Análisis_Indicadores!$M$13:$M$14</c:f>
              <c:strCache>
                <c:ptCount val="1"/>
                <c:pt idx="0">
                  <c:v>(en blanco)</c:v>
                </c:pt>
              </c:strCache>
            </c:strRef>
          </c:tx>
          <c:spPr>
            <a:gradFill flip="none" rotWithShape="1">
              <a:gsLst>
                <a:gs pos="0">
                  <a:schemeClr val="accent3">
                    <a:tint val="70000"/>
                  </a:schemeClr>
                </a:gs>
                <a:gs pos="75000">
                  <a:schemeClr val="accent3">
                    <a:tint val="70000"/>
                    <a:lumMod val="60000"/>
                    <a:lumOff val="40000"/>
                  </a:schemeClr>
                </a:gs>
                <a:gs pos="51000">
                  <a:schemeClr val="accent3">
                    <a:tint val="70000"/>
                    <a:alpha val="75000"/>
                  </a:schemeClr>
                </a:gs>
                <a:gs pos="100000">
                  <a:schemeClr val="accent3">
                    <a:tint val="70000"/>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Insumo_Análisis_Indicadores!$H$15</c:f>
              <c:strCache>
                <c:ptCount val="1"/>
                <c:pt idx="0">
                  <c:v>Total</c:v>
                </c:pt>
              </c:strCache>
            </c:strRef>
          </c:cat>
          <c:val>
            <c:numRef>
              <c:f>Insumo_Análisis_Indicadores!$M$15</c:f>
              <c:numCache>
                <c:formatCode>General</c:formatCode>
                <c:ptCount val="1"/>
                <c:pt idx="0">
                  <c:v>1</c:v>
                </c:pt>
              </c:numCache>
            </c:numRef>
          </c:val>
          <c:extLst>
            <c:ext xmlns:c16="http://schemas.microsoft.com/office/drawing/2014/chart" uri="{C3380CC4-5D6E-409C-BE32-E72D297353CC}">
              <c16:uniqueId val="{00000002-4D6E-4F0A-B103-14487C22E55D}"/>
            </c:ext>
          </c:extLst>
        </c:ser>
        <c:ser>
          <c:idx val="5"/>
          <c:order val="5"/>
          <c:tx>
            <c:strRef>
              <c:f>Insumo_Análisis_Indicadores!$N$13:$N$14</c:f>
              <c:strCache>
                <c:ptCount val="1"/>
                <c:pt idx="0">
                  <c:v>Facultad de Ciencias Contables, Económicas y Administrativas</c:v>
                </c:pt>
              </c:strCache>
            </c:strRef>
          </c:tx>
          <c:spPr>
            <a:gradFill flip="none" rotWithShape="1">
              <a:gsLst>
                <a:gs pos="0">
                  <a:schemeClr val="accent3">
                    <a:tint val="50000"/>
                  </a:schemeClr>
                </a:gs>
                <a:gs pos="75000">
                  <a:schemeClr val="accent3">
                    <a:tint val="50000"/>
                    <a:lumMod val="60000"/>
                    <a:lumOff val="40000"/>
                  </a:schemeClr>
                </a:gs>
                <a:gs pos="51000">
                  <a:schemeClr val="accent3">
                    <a:tint val="50000"/>
                    <a:alpha val="75000"/>
                  </a:schemeClr>
                </a:gs>
                <a:gs pos="100000">
                  <a:schemeClr val="accent3">
                    <a:tint val="50000"/>
                    <a:lumMod val="20000"/>
                    <a:lumOff val="80000"/>
                    <a:alpha val="15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Insumo_Análisis_Indicadores!$H$15</c:f>
              <c:strCache>
                <c:ptCount val="1"/>
                <c:pt idx="0">
                  <c:v>Total</c:v>
                </c:pt>
              </c:strCache>
            </c:strRef>
          </c:cat>
          <c:val>
            <c:numRef>
              <c:f>Insumo_Análisis_Indicadores!$N$15</c:f>
              <c:numCache>
                <c:formatCode>General</c:formatCode>
                <c:ptCount val="1"/>
              </c:numCache>
            </c:numRef>
          </c:val>
          <c:extLst>
            <c:ext xmlns:c16="http://schemas.microsoft.com/office/drawing/2014/chart" uri="{C3380CC4-5D6E-409C-BE32-E72D297353CC}">
              <c16:uniqueId val="{00000003-4D6E-4F0A-B103-14487C22E55D}"/>
            </c:ext>
          </c:extLst>
        </c:ser>
        <c:dLbls>
          <c:dLblPos val="outEnd"/>
          <c:showLegendKey val="0"/>
          <c:showVal val="1"/>
          <c:showCatName val="0"/>
          <c:showSerName val="0"/>
          <c:showPercent val="0"/>
          <c:showBubbleSize val="0"/>
        </c:dLbls>
        <c:gapWidth val="355"/>
        <c:overlap val="-70"/>
        <c:axId val="1518034256"/>
        <c:axId val="1264055712"/>
      </c:barChart>
      <c:catAx>
        <c:axId val="1518034256"/>
        <c:scaling>
          <c:orientation val="minMax"/>
        </c:scaling>
        <c:delete val="1"/>
        <c:axPos val="b"/>
        <c:numFmt formatCode="General" sourceLinked="1"/>
        <c:majorTickMark val="none"/>
        <c:minorTickMark val="none"/>
        <c:tickLblPos val="nextTo"/>
        <c:crossAx val="1264055712"/>
        <c:crosses val="autoZero"/>
        <c:auto val="1"/>
        <c:lblAlgn val="ctr"/>
        <c:lblOffset val="100"/>
        <c:noMultiLvlLbl val="0"/>
      </c:catAx>
      <c:valAx>
        <c:axId val="1264055712"/>
        <c:scaling>
          <c:orientation val="minMax"/>
        </c:scaling>
        <c:delete val="1"/>
        <c:axPos val="l"/>
        <c:numFmt formatCode="General" sourceLinked="1"/>
        <c:majorTickMark val="none"/>
        <c:minorTickMark val="none"/>
        <c:tickLblPos val="nextTo"/>
        <c:crossAx val="15180342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5"/>
    </mc:Choice>
    <mc:Fallback>
      <c:style val="5"/>
    </mc:Fallback>
  </mc:AlternateContent>
  <c:pivotSource>
    <c:name>[Control Asesorías Tesis 1.xlsm]Insumo_Análisis_Indicadores!TablaDinámica3</c:name>
    <c:fmtId val="5"/>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a:t>ASESORÍAS POR TIPO DE SERVICIO</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s-CO"/>
        </a:p>
      </c:txPr>
    </c:title>
    <c:autoTitleDeleted val="0"/>
    <c:pivotFmts>
      <c:pivotFmt>
        <c:idx val="0"/>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bestFit"/>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9"/>
        <c:spPr>
          <a:gradFill rotWithShape="1">
            <a:gsLst>
              <a:gs pos="0">
                <a:schemeClr val="accent3">
                  <a:shade val="53000"/>
                  <a:lumMod val="110000"/>
                  <a:satMod val="105000"/>
                  <a:tint val="67000"/>
                </a:schemeClr>
              </a:gs>
              <a:gs pos="50000">
                <a:schemeClr val="accent3">
                  <a:shade val="53000"/>
                  <a:lumMod val="105000"/>
                  <a:satMod val="103000"/>
                  <a:tint val="73000"/>
                </a:schemeClr>
              </a:gs>
              <a:gs pos="100000">
                <a:schemeClr val="accent3">
                  <a:shade val="53000"/>
                  <a:lumMod val="105000"/>
                  <a:satMod val="109000"/>
                  <a:tint val="81000"/>
                </a:schemeClr>
              </a:gs>
            </a:gsLst>
            <a:lin ang="5400000" scaled="0"/>
          </a:gradFill>
          <a:ln w="9525" cap="flat" cmpd="sng" algn="ctr">
            <a:solidFill>
              <a:schemeClr val="accent3">
                <a:shade val="53000"/>
                <a:shade val="95000"/>
              </a:schemeClr>
            </a:solidFill>
            <a:round/>
          </a:ln>
          <a:effectLst/>
        </c:spPr>
      </c:pivotFmt>
      <c:pivotFmt>
        <c:idx val="10"/>
        <c:spPr>
          <a:gradFill rotWithShape="1">
            <a:gsLst>
              <a:gs pos="0">
                <a:schemeClr val="accent3">
                  <a:shade val="76000"/>
                  <a:lumMod val="110000"/>
                  <a:satMod val="105000"/>
                  <a:tint val="67000"/>
                </a:schemeClr>
              </a:gs>
              <a:gs pos="50000">
                <a:schemeClr val="accent3">
                  <a:shade val="76000"/>
                  <a:lumMod val="105000"/>
                  <a:satMod val="103000"/>
                  <a:tint val="73000"/>
                </a:schemeClr>
              </a:gs>
              <a:gs pos="100000">
                <a:schemeClr val="accent3">
                  <a:shade val="76000"/>
                  <a:lumMod val="105000"/>
                  <a:satMod val="109000"/>
                  <a:tint val="81000"/>
                </a:schemeClr>
              </a:gs>
            </a:gsLst>
            <a:lin ang="5400000" scaled="0"/>
          </a:gradFill>
          <a:ln w="9525" cap="flat" cmpd="sng" algn="ctr">
            <a:solidFill>
              <a:schemeClr val="accent3">
                <a:shade val="76000"/>
                <a:shade val="95000"/>
              </a:schemeClr>
            </a:solidFill>
            <a:round/>
          </a:ln>
          <a:effectLst/>
        </c:spPr>
      </c:pivotFmt>
      <c:pivotFmt>
        <c:idx val="11"/>
        <c:spPr>
          <a:gradFill rotWithShape="1">
            <a:gsLst>
              <a:gs pos="0">
                <a:schemeClr val="accent3">
                  <a:tint val="77000"/>
                  <a:lumMod val="110000"/>
                  <a:satMod val="105000"/>
                  <a:tint val="67000"/>
                </a:schemeClr>
              </a:gs>
              <a:gs pos="50000">
                <a:schemeClr val="accent3">
                  <a:tint val="77000"/>
                  <a:lumMod val="105000"/>
                  <a:satMod val="103000"/>
                  <a:tint val="73000"/>
                </a:schemeClr>
              </a:gs>
              <a:gs pos="100000">
                <a:schemeClr val="accent3">
                  <a:tint val="77000"/>
                  <a:lumMod val="105000"/>
                  <a:satMod val="109000"/>
                  <a:tint val="81000"/>
                </a:schemeClr>
              </a:gs>
            </a:gsLst>
            <a:lin ang="5400000" scaled="0"/>
          </a:gradFill>
          <a:ln w="9525" cap="flat" cmpd="sng" algn="ctr">
            <a:solidFill>
              <a:schemeClr val="accent3">
                <a:tint val="77000"/>
                <a:shade val="95000"/>
              </a:schemeClr>
            </a:solidFill>
            <a:round/>
          </a:ln>
          <a:effectLst/>
        </c:spPr>
      </c:pivotFmt>
      <c:pivotFmt>
        <c:idx val="12"/>
        <c:spPr>
          <a:gradFill rotWithShape="1">
            <a:gsLst>
              <a:gs pos="0">
                <a:schemeClr val="accent3">
                  <a:tint val="77000"/>
                  <a:lumMod val="110000"/>
                  <a:satMod val="105000"/>
                  <a:tint val="67000"/>
                </a:schemeClr>
              </a:gs>
              <a:gs pos="50000">
                <a:schemeClr val="accent3">
                  <a:tint val="77000"/>
                  <a:lumMod val="105000"/>
                  <a:satMod val="103000"/>
                  <a:tint val="73000"/>
                </a:schemeClr>
              </a:gs>
              <a:gs pos="100000">
                <a:schemeClr val="accent3">
                  <a:tint val="77000"/>
                  <a:lumMod val="105000"/>
                  <a:satMod val="109000"/>
                  <a:tint val="81000"/>
                </a:schemeClr>
              </a:gs>
            </a:gsLst>
            <a:lin ang="5400000" scaled="0"/>
          </a:gradFill>
          <a:ln w="9525" cap="flat" cmpd="sng" algn="ctr">
            <a:solidFill>
              <a:schemeClr val="accent3">
                <a:tint val="77000"/>
                <a:shade val="95000"/>
              </a:schemeClr>
            </a:solidFill>
            <a:round/>
          </a:ln>
          <a:effectLst/>
        </c:spPr>
      </c:pivotFmt>
      <c:pivotFmt>
        <c:idx val="13"/>
        <c:spPr>
          <a:gradFill rotWithShape="1">
            <a:gsLst>
              <a:gs pos="0">
                <a:schemeClr val="accent3">
                  <a:tint val="54000"/>
                  <a:lumMod val="110000"/>
                  <a:satMod val="105000"/>
                  <a:tint val="67000"/>
                </a:schemeClr>
              </a:gs>
              <a:gs pos="50000">
                <a:schemeClr val="accent3">
                  <a:tint val="54000"/>
                  <a:lumMod val="105000"/>
                  <a:satMod val="103000"/>
                  <a:tint val="73000"/>
                </a:schemeClr>
              </a:gs>
              <a:gs pos="100000">
                <a:schemeClr val="accent3">
                  <a:tint val="54000"/>
                  <a:lumMod val="105000"/>
                  <a:satMod val="109000"/>
                  <a:tint val="81000"/>
                </a:schemeClr>
              </a:gs>
            </a:gsLst>
            <a:lin ang="5400000" scaled="0"/>
          </a:gradFill>
          <a:ln w="9525" cap="flat" cmpd="sng" algn="ctr">
            <a:solidFill>
              <a:schemeClr val="accent3">
                <a:tint val="54000"/>
                <a:shade val="95000"/>
              </a:schemeClr>
            </a:solidFill>
            <a:round/>
          </a:ln>
          <a:effectLst/>
        </c:spPr>
      </c:pivotFmt>
      <c:pivotFmt>
        <c:idx val="14"/>
        <c:spPr>
          <a:gradFill rotWithShape="1">
            <a:gsLst>
              <a:gs pos="0">
                <a:schemeClr val="accent3">
                  <a:tint val="77000"/>
                  <a:lumMod val="110000"/>
                  <a:satMod val="105000"/>
                  <a:tint val="67000"/>
                </a:schemeClr>
              </a:gs>
              <a:gs pos="50000">
                <a:schemeClr val="accent3">
                  <a:tint val="77000"/>
                  <a:lumMod val="105000"/>
                  <a:satMod val="103000"/>
                  <a:tint val="73000"/>
                </a:schemeClr>
              </a:gs>
              <a:gs pos="100000">
                <a:schemeClr val="accent3">
                  <a:tint val="77000"/>
                  <a:lumMod val="105000"/>
                  <a:satMod val="109000"/>
                  <a:tint val="81000"/>
                </a:schemeClr>
              </a:gs>
            </a:gsLst>
            <a:lin ang="5400000" scaled="0"/>
          </a:gradFill>
          <a:ln w="9525" cap="flat" cmpd="sng" algn="ctr">
            <a:solidFill>
              <a:schemeClr val="accent3">
                <a:tint val="77000"/>
                <a:shade val="95000"/>
              </a:schemeClr>
            </a:solidFill>
            <a:round/>
          </a:ln>
          <a:effectLst/>
        </c:spPr>
      </c:pivotFmt>
    </c:pivotFmts>
    <c:plotArea>
      <c:layout/>
      <c:pieChart>
        <c:varyColors val="1"/>
        <c:ser>
          <c:idx val="0"/>
          <c:order val="0"/>
          <c:tx>
            <c:strRef>
              <c:f>Insumo_Análisis_Indicadores!$S$11</c:f>
              <c:strCache>
                <c:ptCount val="1"/>
                <c:pt idx="0">
                  <c:v>Total</c:v>
                </c:pt>
              </c:strCache>
            </c:strRef>
          </c:tx>
          <c:dPt>
            <c:idx val="0"/>
            <c:bubble3D val="0"/>
            <c:spPr>
              <a:gradFill rotWithShape="1">
                <a:gsLst>
                  <a:gs pos="0">
                    <a:schemeClr val="accent3">
                      <a:shade val="53000"/>
                      <a:lumMod val="110000"/>
                      <a:satMod val="105000"/>
                      <a:tint val="67000"/>
                    </a:schemeClr>
                  </a:gs>
                  <a:gs pos="50000">
                    <a:schemeClr val="accent3">
                      <a:shade val="53000"/>
                      <a:lumMod val="105000"/>
                      <a:satMod val="103000"/>
                      <a:tint val="73000"/>
                    </a:schemeClr>
                  </a:gs>
                  <a:gs pos="100000">
                    <a:schemeClr val="accent3">
                      <a:shade val="53000"/>
                      <a:lumMod val="105000"/>
                      <a:satMod val="109000"/>
                      <a:tint val="81000"/>
                    </a:schemeClr>
                  </a:gs>
                </a:gsLst>
                <a:lin ang="5400000" scaled="0"/>
              </a:gradFill>
              <a:ln w="9525" cap="flat" cmpd="sng" algn="ctr">
                <a:solidFill>
                  <a:schemeClr val="accent3">
                    <a:shade val="53000"/>
                    <a:shade val="95000"/>
                  </a:schemeClr>
                </a:solidFill>
                <a:round/>
              </a:ln>
              <a:effectLst/>
            </c:spPr>
            <c:extLst>
              <c:ext xmlns:c16="http://schemas.microsoft.com/office/drawing/2014/chart" uri="{C3380CC4-5D6E-409C-BE32-E72D297353CC}">
                <c16:uniqueId val="{00000001-1CBB-4F49-AC7C-3EE79F9A3FB9}"/>
              </c:ext>
            </c:extLst>
          </c:dPt>
          <c:dPt>
            <c:idx val="1"/>
            <c:bubble3D val="0"/>
            <c:spPr>
              <a:gradFill rotWithShape="1">
                <a:gsLst>
                  <a:gs pos="0">
                    <a:schemeClr val="accent3">
                      <a:tint val="77000"/>
                      <a:lumMod val="110000"/>
                      <a:satMod val="105000"/>
                      <a:tint val="67000"/>
                    </a:schemeClr>
                  </a:gs>
                  <a:gs pos="50000">
                    <a:schemeClr val="accent3">
                      <a:tint val="77000"/>
                      <a:lumMod val="105000"/>
                      <a:satMod val="103000"/>
                      <a:tint val="73000"/>
                    </a:schemeClr>
                  </a:gs>
                  <a:gs pos="100000">
                    <a:schemeClr val="accent3">
                      <a:tint val="77000"/>
                      <a:lumMod val="105000"/>
                      <a:satMod val="109000"/>
                      <a:tint val="81000"/>
                    </a:schemeClr>
                  </a:gs>
                </a:gsLst>
                <a:lin ang="5400000" scaled="0"/>
              </a:gradFill>
              <a:ln w="9525" cap="flat" cmpd="sng" algn="ctr">
                <a:solidFill>
                  <a:schemeClr val="accent3">
                    <a:tint val="77000"/>
                    <a:shade val="95000"/>
                  </a:schemeClr>
                </a:solidFill>
                <a:round/>
              </a:ln>
              <a:effectLst/>
            </c:spPr>
            <c:extLst>
              <c:ext xmlns:c16="http://schemas.microsoft.com/office/drawing/2014/chart" uri="{C3380CC4-5D6E-409C-BE32-E72D297353CC}">
                <c16:uniqueId val="{00000003-1CBB-4F49-AC7C-3EE79F9A3FB9}"/>
              </c:ext>
            </c:extLst>
          </c:dPt>
          <c:dPt>
            <c:idx val="2"/>
            <c:bubble3D val="0"/>
            <c:spPr>
              <a:gradFill rotWithShape="1">
                <a:gsLst>
                  <a:gs pos="0">
                    <a:schemeClr val="accent3">
                      <a:tint val="77000"/>
                      <a:lumMod val="110000"/>
                      <a:satMod val="105000"/>
                      <a:tint val="67000"/>
                    </a:schemeClr>
                  </a:gs>
                  <a:gs pos="50000">
                    <a:schemeClr val="accent3">
                      <a:tint val="77000"/>
                      <a:lumMod val="105000"/>
                      <a:satMod val="103000"/>
                      <a:tint val="73000"/>
                    </a:schemeClr>
                  </a:gs>
                  <a:gs pos="100000">
                    <a:schemeClr val="accent3">
                      <a:tint val="77000"/>
                      <a:lumMod val="105000"/>
                      <a:satMod val="109000"/>
                      <a:tint val="81000"/>
                    </a:schemeClr>
                  </a:gs>
                </a:gsLst>
                <a:lin ang="5400000" scaled="0"/>
              </a:gradFill>
              <a:ln w="9525" cap="flat" cmpd="sng" algn="ctr">
                <a:solidFill>
                  <a:schemeClr val="accent3">
                    <a:tint val="77000"/>
                    <a:shade val="95000"/>
                  </a:schemeClr>
                </a:solidFill>
                <a:round/>
              </a:ln>
              <a:effectLst/>
            </c:spPr>
            <c:extLst>
              <c:ext xmlns:c16="http://schemas.microsoft.com/office/drawing/2014/chart" uri="{C3380CC4-5D6E-409C-BE32-E72D297353CC}">
                <c16:uniqueId val="{00000005-1CBB-4F49-AC7C-3EE79F9A3FB9}"/>
              </c:ext>
            </c:extLst>
          </c:dPt>
          <c:dPt>
            <c:idx val="3"/>
            <c:bubble3D val="0"/>
            <c:spPr>
              <a:gradFill rotWithShape="1">
                <a:gsLst>
                  <a:gs pos="0">
                    <a:schemeClr val="accent3">
                      <a:tint val="30000"/>
                      <a:lumMod val="110000"/>
                      <a:satMod val="105000"/>
                      <a:tint val="67000"/>
                    </a:schemeClr>
                  </a:gs>
                  <a:gs pos="50000">
                    <a:schemeClr val="accent3">
                      <a:tint val="30000"/>
                      <a:lumMod val="105000"/>
                      <a:satMod val="103000"/>
                      <a:tint val="73000"/>
                    </a:schemeClr>
                  </a:gs>
                  <a:gs pos="100000">
                    <a:schemeClr val="accent3">
                      <a:tint val="30000"/>
                      <a:lumMod val="105000"/>
                      <a:satMod val="109000"/>
                      <a:tint val="81000"/>
                    </a:schemeClr>
                  </a:gs>
                </a:gsLst>
                <a:lin ang="5400000" scaled="0"/>
              </a:gradFill>
              <a:ln w="9525" cap="flat" cmpd="sng" algn="ctr">
                <a:solidFill>
                  <a:schemeClr val="accent3">
                    <a:tint val="30000"/>
                    <a:shade val="95000"/>
                  </a:schemeClr>
                </a:solidFill>
                <a:round/>
              </a:ln>
              <a:effectLst/>
            </c:spPr>
            <c:extLst>
              <c:ext xmlns:c16="http://schemas.microsoft.com/office/drawing/2014/chart" uri="{C3380CC4-5D6E-409C-BE32-E72D297353CC}">
                <c16:uniqueId val="{00000007-1CBB-4F49-AC7C-3EE79F9A3FB9}"/>
              </c:ext>
            </c:extLst>
          </c:dPt>
          <c:dPt>
            <c:idx val="4"/>
            <c:bubble3D val="0"/>
            <c:spPr>
              <a:gradFill rotWithShape="1">
                <a:gsLst>
                  <a:gs pos="0">
                    <a:schemeClr val="accent3">
                      <a:tint val="95000"/>
                      <a:lumMod val="110000"/>
                      <a:satMod val="105000"/>
                      <a:tint val="67000"/>
                    </a:schemeClr>
                  </a:gs>
                  <a:gs pos="50000">
                    <a:schemeClr val="accent3">
                      <a:tint val="95000"/>
                      <a:lumMod val="105000"/>
                      <a:satMod val="103000"/>
                      <a:tint val="73000"/>
                    </a:schemeClr>
                  </a:gs>
                  <a:gs pos="100000">
                    <a:schemeClr val="accent3">
                      <a:tint val="95000"/>
                      <a:lumMod val="105000"/>
                      <a:satMod val="109000"/>
                      <a:tint val="81000"/>
                    </a:schemeClr>
                  </a:gs>
                </a:gsLst>
                <a:lin ang="5400000" scaled="0"/>
              </a:gradFill>
              <a:ln w="9525" cap="flat" cmpd="sng" algn="ctr">
                <a:solidFill>
                  <a:schemeClr val="accent3">
                    <a:tint val="95000"/>
                    <a:shade val="95000"/>
                  </a:schemeClr>
                </a:solidFill>
                <a:round/>
              </a:ln>
              <a:effectLst/>
            </c:spPr>
            <c:extLst>
              <c:ext xmlns:c16="http://schemas.microsoft.com/office/drawing/2014/chart" uri="{C3380CC4-5D6E-409C-BE32-E72D297353CC}">
                <c16:uniqueId val="{00000009-1CBB-4F49-AC7C-3EE79F9A3FB9}"/>
              </c:ext>
            </c:extLst>
          </c:dPt>
          <c:dPt>
            <c:idx val="5"/>
            <c:bubble3D val="0"/>
            <c:spPr>
              <a:gradFill rotWithShape="1">
                <a:gsLst>
                  <a:gs pos="0">
                    <a:schemeClr val="accent3">
                      <a:tint val="60000"/>
                      <a:lumMod val="110000"/>
                      <a:satMod val="105000"/>
                      <a:tint val="67000"/>
                    </a:schemeClr>
                  </a:gs>
                  <a:gs pos="50000">
                    <a:schemeClr val="accent3">
                      <a:tint val="60000"/>
                      <a:lumMod val="105000"/>
                      <a:satMod val="103000"/>
                      <a:tint val="73000"/>
                    </a:schemeClr>
                  </a:gs>
                  <a:gs pos="100000">
                    <a:schemeClr val="accent3">
                      <a:tint val="60000"/>
                      <a:lumMod val="105000"/>
                      <a:satMod val="109000"/>
                      <a:tint val="81000"/>
                    </a:schemeClr>
                  </a:gs>
                </a:gsLst>
                <a:lin ang="5400000" scaled="0"/>
              </a:gradFill>
              <a:ln w="9525" cap="flat" cmpd="sng" algn="ctr">
                <a:solidFill>
                  <a:schemeClr val="accent3">
                    <a:tint val="60000"/>
                    <a:shade val="95000"/>
                  </a:schemeClr>
                </a:solidFill>
                <a:round/>
              </a:ln>
              <a:effectLst/>
            </c:spPr>
            <c:extLst>
              <c:ext xmlns:c16="http://schemas.microsoft.com/office/drawing/2014/chart" uri="{C3380CC4-5D6E-409C-BE32-E72D297353CC}">
                <c16:uniqueId val="{0000000B-1CBB-4F49-AC7C-3EE79F9A3FB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s-CO"/>
              </a:p>
            </c:txPr>
            <c:dLblPos val="ctr"/>
            <c:showLegendKey val="0"/>
            <c:showVal val="1"/>
            <c:showCatName val="0"/>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Insumo_Análisis_Indicadores!$R$12:$R$15</c:f>
              <c:strCache>
                <c:ptCount val="3"/>
                <c:pt idx="0">
                  <c:v>APA (7 ed. 2020) 
American Psychological Association </c:v>
                </c:pt>
                <c:pt idx="1">
                  <c:v>Temas_Centro_Escritura</c:v>
                </c:pt>
                <c:pt idx="2">
                  <c:v>(en blanco)</c:v>
                </c:pt>
              </c:strCache>
            </c:strRef>
          </c:cat>
          <c:val>
            <c:numRef>
              <c:f>Insumo_Análisis_Indicadores!$S$12:$S$15</c:f>
              <c:numCache>
                <c:formatCode>General</c:formatCode>
                <c:ptCount val="3"/>
                <c:pt idx="0">
                  <c:v>34</c:v>
                </c:pt>
                <c:pt idx="1">
                  <c:v>17</c:v>
                </c:pt>
                <c:pt idx="2">
                  <c:v>198</c:v>
                </c:pt>
              </c:numCache>
            </c:numRef>
          </c:val>
          <c:extLst>
            <c:ext xmlns:c16="http://schemas.microsoft.com/office/drawing/2014/chart" uri="{C3380CC4-5D6E-409C-BE32-E72D297353CC}">
              <c16:uniqueId val="{0000000C-1CBB-4F49-AC7C-3EE79F9A3FB9}"/>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6">
  <a:schemeClr val="accent3"/>
</cs:colorStyle>
</file>

<file path=xl/charts/colors2.xml><?xml version="1.0" encoding="utf-8"?>
<cs:colorStyle xmlns:cs="http://schemas.microsoft.com/office/drawing/2012/chartStyle" xmlns:a="http://schemas.openxmlformats.org/drawingml/2006/main" meth="withinLinear" id="16">
  <a:schemeClr val="accent3"/>
</cs:colorStyle>
</file>

<file path=xl/charts/colors3.xml><?xml version="1.0" encoding="utf-8"?>
<cs:colorStyle xmlns:cs="http://schemas.microsoft.com/office/drawing/2012/chartStyle" xmlns:a="http://schemas.openxmlformats.org/drawingml/2006/main" meth="withinLinear" id="16">
  <a:schemeClr val="accent3"/>
</cs:colorStyle>
</file>

<file path=xl/charts/style1.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microsoft.com/office/2011/relationships/webextension" Target="../webextensions/webextension1.xml"/></Relationships>
</file>

<file path=xl/drawings/drawing1.xml><?xml version="1.0" encoding="utf-8"?>
<xdr:wsDr xmlns:xdr="http://schemas.openxmlformats.org/drawingml/2006/spreadsheetDrawing" xmlns:a="http://schemas.openxmlformats.org/drawingml/2006/main">
  <xdr:twoCellAnchor>
    <xdr:from>
      <xdr:col>1</xdr:col>
      <xdr:colOff>1009650</xdr:colOff>
      <xdr:row>3</xdr:row>
      <xdr:rowOff>95251</xdr:rowOff>
    </xdr:from>
    <xdr:to>
      <xdr:col>1</xdr:col>
      <xdr:colOff>2667000</xdr:colOff>
      <xdr:row>11</xdr:row>
      <xdr:rowOff>76201</xdr:rowOff>
    </xdr:to>
    <xdr:sp macro="" textlink="">
      <xdr:nvSpPr>
        <xdr:cNvPr id="4" name="Rectángulo 3">
          <a:extLst>
            <a:ext uri="{FF2B5EF4-FFF2-40B4-BE49-F238E27FC236}">
              <a16:creationId xmlns:a16="http://schemas.microsoft.com/office/drawing/2014/main" id="{7DDE1625-7AFB-4CD7-A877-04ED1C184F5F}"/>
            </a:ext>
          </a:extLst>
        </xdr:cNvPr>
        <xdr:cNvSpPr/>
      </xdr:nvSpPr>
      <xdr:spPr>
        <a:xfrm>
          <a:off x="1771650" y="666751"/>
          <a:ext cx="1657350" cy="1504950"/>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t"/>
        <a:lstStyle/>
        <a:p>
          <a:pPr algn="l"/>
          <a:endParaRPr lang="es-CO" sz="1100"/>
        </a:p>
      </xdr:txBody>
    </xdr:sp>
    <xdr:clientData/>
  </xdr:twoCellAnchor>
  <xdr:twoCellAnchor>
    <xdr:from>
      <xdr:col>1</xdr:col>
      <xdr:colOff>1085849</xdr:colOff>
      <xdr:row>5</xdr:row>
      <xdr:rowOff>171450</xdr:rowOff>
    </xdr:from>
    <xdr:to>
      <xdr:col>2</xdr:col>
      <xdr:colOff>228599</xdr:colOff>
      <xdr:row>9</xdr:row>
      <xdr:rowOff>66675</xdr:rowOff>
    </xdr:to>
    <xdr:sp macro="" textlink="Insumo_Análisis_Indicadores!F3">
      <xdr:nvSpPr>
        <xdr:cNvPr id="9" name="CuadroTexto 8">
          <a:extLst>
            <a:ext uri="{FF2B5EF4-FFF2-40B4-BE49-F238E27FC236}">
              <a16:creationId xmlns:a16="http://schemas.microsoft.com/office/drawing/2014/main" id="{D7348E45-7A63-12AD-BA62-2B78D448790A}"/>
            </a:ext>
          </a:extLst>
        </xdr:cNvPr>
        <xdr:cNvSpPr txBox="1"/>
      </xdr:nvSpPr>
      <xdr:spPr>
        <a:xfrm>
          <a:off x="1847849" y="1123950"/>
          <a:ext cx="904875" cy="657225"/>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wrap="square" rtlCol="0" anchor="ctr"/>
        <a:lstStyle/>
        <a:p>
          <a:pPr algn="ctr"/>
          <a:fld id="{08EE0AF9-062B-41DF-A529-940E26D645CC}" type="TxLink">
            <a:rPr lang="en-US" sz="5400" b="1" i="0" u="none" strike="noStrike">
              <a:solidFill>
                <a:schemeClr val="accent6">
                  <a:lumMod val="75000"/>
                </a:schemeClr>
              </a:solidFill>
              <a:latin typeface="Aptos Narrow"/>
            </a:rPr>
            <a:pPr algn="ctr"/>
            <a:t>62</a:t>
          </a:fld>
          <a:endParaRPr lang="es-CO" sz="5400" b="1">
            <a:solidFill>
              <a:schemeClr val="accent6">
                <a:lumMod val="75000"/>
              </a:schemeClr>
            </a:solidFill>
          </a:endParaRPr>
        </a:p>
      </xdr:txBody>
    </xdr:sp>
    <xdr:clientData/>
  </xdr:twoCellAnchor>
  <xdr:twoCellAnchor editAs="oneCell">
    <xdr:from>
      <xdr:col>5</xdr:col>
      <xdr:colOff>723900</xdr:colOff>
      <xdr:row>36</xdr:row>
      <xdr:rowOff>152400</xdr:rowOff>
    </xdr:from>
    <xdr:to>
      <xdr:col>7</xdr:col>
      <xdr:colOff>200025</xdr:colOff>
      <xdr:row>47</xdr:row>
      <xdr:rowOff>57150</xdr:rowOff>
    </xdr:to>
    <mc:AlternateContent xmlns:mc="http://schemas.openxmlformats.org/markup-compatibility/2006" xmlns:a14="http://schemas.microsoft.com/office/drawing/2010/main">
      <mc:Choice Requires="a14">
        <xdr:graphicFrame macro="">
          <xdr:nvGraphicFramePr>
            <xdr:cNvPr id="15" name="Nombre de la Facultad">
              <a:extLst>
                <a:ext uri="{FF2B5EF4-FFF2-40B4-BE49-F238E27FC236}">
                  <a16:creationId xmlns:a16="http://schemas.microsoft.com/office/drawing/2014/main" id="{5B7E197D-48BD-4D27-1CCB-27D1D78FB587}"/>
                </a:ext>
              </a:extLst>
            </xdr:cNvPr>
            <xdr:cNvGraphicFramePr/>
          </xdr:nvGraphicFramePr>
          <xdr:xfrm>
            <a:off x="0" y="0"/>
            <a:ext cx="0" cy="0"/>
          </xdr:xfrm>
          <a:graphic>
            <a:graphicData uri="http://schemas.microsoft.com/office/drawing/2010/slicer">
              <sle:slicer xmlns:sle="http://schemas.microsoft.com/office/drawing/2010/slicer" name="Nombre de la Facultad"/>
            </a:graphicData>
          </a:graphic>
        </xdr:graphicFrame>
      </mc:Choice>
      <mc:Fallback xmlns="">
        <xdr:sp macro="" textlink="">
          <xdr:nvSpPr>
            <xdr:cNvPr id="0" name=""/>
            <xdr:cNvSpPr>
              <a:spLocks noTextEdit="1"/>
            </xdr:cNvSpPr>
          </xdr:nvSpPr>
          <xdr:spPr>
            <a:xfrm>
              <a:off x="7419975" y="7010400"/>
              <a:ext cx="2381250" cy="2000250"/>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7</xdr:col>
      <xdr:colOff>942975</xdr:colOff>
      <xdr:row>36</xdr:row>
      <xdr:rowOff>114301</xdr:rowOff>
    </xdr:from>
    <xdr:to>
      <xdr:col>7</xdr:col>
      <xdr:colOff>3047999</xdr:colOff>
      <xdr:row>41</xdr:row>
      <xdr:rowOff>95251</xdr:rowOff>
    </xdr:to>
    <mc:AlternateContent xmlns:mc="http://schemas.openxmlformats.org/markup-compatibility/2006" xmlns:a14="http://schemas.microsoft.com/office/drawing/2010/main">
      <mc:Choice Requires="a14">
        <xdr:graphicFrame macro="">
          <xdr:nvGraphicFramePr>
            <xdr:cNvPr id="17" name="Modalidad_Asesoría">
              <a:extLst>
                <a:ext uri="{FF2B5EF4-FFF2-40B4-BE49-F238E27FC236}">
                  <a16:creationId xmlns:a16="http://schemas.microsoft.com/office/drawing/2014/main" id="{80AB4F19-574D-C1E5-50E0-CB40A03AB4EF}"/>
                </a:ext>
                <a:ext uri="{147F2762-F138-4A5C-976F-8EAC2B608ADB}">
                  <a16:predDERef xmlns:a16="http://schemas.microsoft.com/office/drawing/2014/main" pred="{5B7E197D-48BD-4D27-1CCB-27D1D78FB587}"/>
                </a:ext>
              </a:extLst>
            </xdr:cNvPr>
            <xdr:cNvGraphicFramePr/>
          </xdr:nvGraphicFramePr>
          <xdr:xfrm>
            <a:off x="0" y="0"/>
            <a:ext cx="0" cy="0"/>
          </xdr:xfrm>
          <a:graphic>
            <a:graphicData uri="http://schemas.microsoft.com/office/drawing/2010/slicer">
              <sle:slicer xmlns:sle="http://schemas.microsoft.com/office/drawing/2010/slicer" name="Modalidad_Asesoría"/>
            </a:graphicData>
          </a:graphic>
        </xdr:graphicFrame>
      </mc:Choice>
      <mc:Fallback xmlns="">
        <xdr:sp macro="" textlink="">
          <xdr:nvSpPr>
            <xdr:cNvPr id="0" name=""/>
            <xdr:cNvSpPr>
              <a:spLocks noTextEdit="1"/>
            </xdr:cNvSpPr>
          </xdr:nvSpPr>
          <xdr:spPr>
            <a:xfrm>
              <a:off x="11410950" y="6972301"/>
              <a:ext cx="2352674" cy="933450"/>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xdr:col>
      <xdr:colOff>0</xdr:colOff>
      <xdr:row>16</xdr:row>
      <xdr:rowOff>47625</xdr:rowOff>
    </xdr:from>
    <xdr:to>
      <xdr:col>5</xdr:col>
      <xdr:colOff>133350</xdr:colOff>
      <xdr:row>34</xdr:row>
      <xdr:rowOff>180974</xdr:rowOff>
    </xdr:to>
    <xdr:graphicFrame macro="">
      <xdr:nvGraphicFramePr>
        <xdr:cNvPr id="6" name="Gráfico 5">
          <a:extLst>
            <a:ext uri="{FF2B5EF4-FFF2-40B4-BE49-F238E27FC236}">
              <a16:creationId xmlns:a16="http://schemas.microsoft.com/office/drawing/2014/main" id="{BCF31398-4E40-42BE-B95B-1BFFE75ABB05}"/>
            </a:ext>
            <a:ext uri="{147F2762-F138-4A5C-976F-8EAC2B608ADB}">
              <a16:predDERef xmlns:a16="http://schemas.microsoft.com/office/drawing/2014/main" pred="{80AB4F19-574D-C1E5-50E0-CB40A03AB4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981075</xdr:colOff>
      <xdr:row>42</xdr:row>
      <xdr:rowOff>104776</xdr:rowOff>
    </xdr:from>
    <xdr:to>
      <xdr:col>7</xdr:col>
      <xdr:colOff>3057525</xdr:colOff>
      <xdr:row>47</xdr:row>
      <xdr:rowOff>57150</xdr:rowOff>
    </xdr:to>
    <mc:AlternateContent xmlns:mc="http://schemas.openxmlformats.org/markup-compatibility/2006" xmlns:a14="http://schemas.microsoft.com/office/drawing/2010/main">
      <mc:Choice Requires="a14">
        <xdr:graphicFrame macro="">
          <xdr:nvGraphicFramePr>
            <xdr:cNvPr id="7" name="Fecha">
              <a:extLst>
                <a:ext uri="{FF2B5EF4-FFF2-40B4-BE49-F238E27FC236}">
                  <a16:creationId xmlns:a16="http://schemas.microsoft.com/office/drawing/2014/main" id="{A8AD7170-6585-9FE7-A0CD-102731E1495A}"/>
                </a:ext>
                <a:ext uri="{147F2762-F138-4A5C-976F-8EAC2B608ADB}">
                  <a16:predDERef xmlns:a16="http://schemas.microsoft.com/office/drawing/2014/main" pred="{BCF31398-4E40-42BE-B95B-1BFFE75ABB05}"/>
                </a:ext>
              </a:extLst>
            </xdr:cNvPr>
            <xdr:cNvGraphicFramePr/>
          </xdr:nvGraphicFramePr>
          <xdr:xfrm>
            <a:off x="0" y="0"/>
            <a:ext cx="0" cy="0"/>
          </xdr:xfrm>
          <a:graphic>
            <a:graphicData uri="http://schemas.microsoft.com/office/drawing/2010/slicer">
              <sle:slicer xmlns:sle="http://schemas.microsoft.com/office/drawing/2010/slicer" name="Fecha"/>
            </a:graphicData>
          </a:graphic>
        </xdr:graphicFrame>
      </mc:Choice>
      <mc:Fallback xmlns="">
        <xdr:sp macro="" textlink="">
          <xdr:nvSpPr>
            <xdr:cNvPr id="0" name=""/>
            <xdr:cNvSpPr>
              <a:spLocks noTextEdit="1"/>
            </xdr:cNvSpPr>
          </xdr:nvSpPr>
          <xdr:spPr>
            <a:xfrm>
              <a:off x="11439525" y="8058151"/>
              <a:ext cx="2362200" cy="90487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1</xdr:col>
      <xdr:colOff>857250</xdr:colOff>
      <xdr:row>3</xdr:row>
      <xdr:rowOff>142876</xdr:rowOff>
    </xdr:from>
    <xdr:to>
      <xdr:col>2</xdr:col>
      <xdr:colOff>514350</xdr:colOff>
      <xdr:row>9</xdr:row>
      <xdr:rowOff>28576</xdr:rowOff>
    </xdr:to>
    <xdr:sp macro="" textlink="">
      <xdr:nvSpPr>
        <xdr:cNvPr id="5" name="CuadroTexto 4">
          <a:extLst>
            <a:ext uri="{FF2B5EF4-FFF2-40B4-BE49-F238E27FC236}">
              <a16:creationId xmlns:a16="http://schemas.microsoft.com/office/drawing/2014/main" id="{CA96598D-E7F0-4615-376F-8705BB0D2A0E}"/>
            </a:ext>
            <a:ext uri="{147F2762-F138-4A5C-976F-8EAC2B608ADB}">
              <a16:predDERef xmlns:a16="http://schemas.microsoft.com/office/drawing/2014/main" pred="{A8AD7170-6585-9FE7-A0CD-102731E1495A}"/>
            </a:ext>
          </a:extLst>
        </xdr:cNvPr>
        <xdr:cNvSpPr txBox="1"/>
      </xdr:nvSpPr>
      <xdr:spPr>
        <a:xfrm>
          <a:off x="1619250" y="714376"/>
          <a:ext cx="1419225" cy="1028700"/>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wrap="square" rtlCol="0" anchor="t"/>
        <a:lstStyle/>
        <a:p>
          <a:pPr marL="0" indent="0" algn="ctr"/>
          <a:r>
            <a:rPr lang="en-US" sz="1100" b="1">
              <a:solidFill>
                <a:schemeClr val="tx1"/>
              </a:solidFill>
              <a:latin typeface="+mn-lt"/>
              <a:ea typeface="+mn-lt"/>
              <a:cs typeface="+mn-lt"/>
            </a:rPr>
            <a:t>TOTAL ASESORÍAS</a:t>
          </a:r>
        </a:p>
      </xdr:txBody>
    </xdr:sp>
    <xdr:clientData/>
  </xdr:twoCellAnchor>
  <xdr:oneCellAnchor>
    <xdr:from>
      <xdr:col>3</xdr:col>
      <xdr:colOff>190500</xdr:colOff>
      <xdr:row>8</xdr:row>
      <xdr:rowOff>121703</xdr:rowOff>
    </xdr:from>
    <xdr:ext cx="10248900" cy="656590"/>
    <xdr:sp macro="" textlink="">
      <xdr:nvSpPr>
        <xdr:cNvPr id="10" name="Rectángulo 9">
          <a:extLst>
            <a:ext uri="{FF2B5EF4-FFF2-40B4-BE49-F238E27FC236}">
              <a16:creationId xmlns:a16="http://schemas.microsoft.com/office/drawing/2014/main" id="{CFB88186-6774-D7A2-4C9D-4851DBEBD2D0}"/>
            </a:ext>
          </a:extLst>
        </xdr:cNvPr>
        <xdr:cNvSpPr/>
      </xdr:nvSpPr>
      <xdr:spPr>
        <a:xfrm>
          <a:off x="4086225" y="1645703"/>
          <a:ext cx="10248900" cy="656590"/>
        </a:xfrm>
        <a:prstGeom prst="rect">
          <a:avLst/>
        </a:prstGeom>
        <a:noFill/>
      </xdr:spPr>
      <xdr:txBody>
        <a:bodyPr wrap="square" lIns="91440" tIns="45720" rIns="91440" bIns="45720">
          <a:spAutoFit/>
        </a:bodyPr>
        <a:lstStyle/>
        <a:p>
          <a:pPr algn="ctr"/>
          <a:r>
            <a:rPr lang="es-ES" sz="4400" b="0" cap="none" spc="0">
              <a:ln w="0"/>
              <a:solidFill>
                <a:schemeClr val="accent6">
                  <a:lumMod val="75000"/>
                </a:schemeClr>
              </a:solidFill>
              <a:effectLst/>
              <a:latin typeface="Aracne Regular" panose="02000506000000020004" pitchFamily="50" charset="0"/>
            </a:rPr>
            <a:t>Asesorías</a:t>
          </a:r>
          <a:r>
            <a:rPr lang="es-ES" sz="4400" b="0" cap="none" spc="0" baseline="0">
              <a:ln w="0"/>
              <a:solidFill>
                <a:schemeClr val="accent6">
                  <a:lumMod val="75000"/>
                </a:schemeClr>
              </a:solidFill>
              <a:effectLst/>
              <a:latin typeface="Aracne Regular" panose="02000506000000020004" pitchFamily="50" charset="0"/>
            </a:rPr>
            <a:t> Biblioteca y Centro de Recursos</a:t>
          </a:r>
          <a:endParaRPr lang="es-ES" sz="4400" b="0" cap="none" spc="0">
            <a:ln w="0"/>
            <a:solidFill>
              <a:schemeClr val="accent6">
                <a:lumMod val="75000"/>
              </a:schemeClr>
            </a:solidFill>
            <a:effectLst/>
            <a:latin typeface="Aracne Regular" panose="02000506000000020004" pitchFamily="50" charset="0"/>
          </a:endParaRPr>
        </a:p>
      </xdr:txBody>
    </xdr:sp>
    <xdr:clientData/>
  </xdr:oneCellAnchor>
  <xdr:twoCellAnchor>
    <xdr:from>
      <xdr:col>5</xdr:col>
      <xdr:colOff>695326</xdr:colOff>
      <xdr:row>17</xdr:row>
      <xdr:rowOff>38099</xdr:rowOff>
    </xdr:from>
    <xdr:to>
      <xdr:col>9</xdr:col>
      <xdr:colOff>2143126</xdr:colOff>
      <xdr:row>35</xdr:row>
      <xdr:rowOff>66674</xdr:rowOff>
    </xdr:to>
    <xdr:graphicFrame macro="">
      <xdr:nvGraphicFramePr>
        <xdr:cNvPr id="11" name="Gráfico 10">
          <a:extLst>
            <a:ext uri="{FF2B5EF4-FFF2-40B4-BE49-F238E27FC236}">
              <a16:creationId xmlns:a16="http://schemas.microsoft.com/office/drawing/2014/main" id="{716BF1BF-EB0E-47F0-9076-A67214F2BF8C}"/>
            </a:ext>
            <a:ext uri="{147F2762-F138-4A5C-976F-8EAC2B608ADB}">
              <a16:predDERef xmlns:a16="http://schemas.microsoft.com/office/drawing/2014/main" pred="{CFB88186-6774-D7A2-4C9D-4851DBEBD2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28575</xdr:colOff>
      <xdr:row>35</xdr:row>
      <xdr:rowOff>180974</xdr:rowOff>
    </xdr:from>
    <xdr:to>
      <xdr:col>5</xdr:col>
      <xdr:colOff>228600</xdr:colOff>
      <xdr:row>53</xdr:row>
      <xdr:rowOff>38099</xdr:rowOff>
    </xdr:to>
    <xdr:graphicFrame macro="">
      <xdr:nvGraphicFramePr>
        <xdr:cNvPr id="12" name="Gráfico 11">
          <a:extLst>
            <a:ext uri="{FF2B5EF4-FFF2-40B4-BE49-F238E27FC236}">
              <a16:creationId xmlns:a16="http://schemas.microsoft.com/office/drawing/2014/main" id="{D5AA0704-DA97-41FD-ABC1-CA032F1D83A9}"/>
            </a:ext>
            <a:ext uri="{147F2762-F138-4A5C-976F-8EAC2B608ADB}">
              <a16:predDERef xmlns:a16="http://schemas.microsoft.com/office/drawing/2014/main" pred="{716BF1BF-EB0E-47F0-9076-A67214F2BF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8</xdr:col>
      <xdr:colOff>542924</xdr:colOff>
      <xdr:row>36</xdr:row>
      <xdr:rowOff>123825</xdr:rowOff>
    </xdr:from>
    <xdr:to>
      <xdr:col>9</xdr:col>
      <xdr:colOff>1263649</xdr:colOff>
      <xdr:row>46</xdr:row>
      <xdr:rowOff>76200</xdr:rowOff>
    </xdr:to>
    <mc:AlternateContent xmlns:mc="http://schemas.openxmlformats.org/markup-compatibility/2006" xmlns:a14="http://schemas.microsoft.com/office/drawing/2010/main">
      <mc:Choice Requires="a14">
        <xdr:graphicFrame macro="">
          <xdr:nvGraphicFramePr>
            <xdr:cNvPr id="13" name="Nombre_Asesoría">
              <a:extLst>
                <a:ext uri="{FF2B5EF4-FFF2-40B4-BE49-F238E27FC236}">
                  <a16:creationId xmlns:a16="http://schemas.microsoft.com/office/drawing/2014/main" id="{0DDFCA95-B5D7-BD4B-637A-4E2694F2A28F}"/>
                </a:ext>
                <a:ext uri="{147F2762-F138-4A5C-976F-8EAC2B608ADB}">
                  <a16:predDERef xmlns:a16="http://schemas.microsoft.com/office/drawing/2014/main" pred="{D5AA0704-DA97-41FD-ABC1-CA032F1D83A9}"/>
                </a:ext>
              </a:extLst>
            </xdr:cNvPr>
            <xdr:cNvGraphicFramePr/>
          </xdr:nvGraphicFramePr>
          <xdr:xfrm>
            <a:off x="0" y="0"/>
            <a:ext cx="0" cy="0"/>
          </xdr:xfrm>
          <a:graphic>
            <a:graphicData uri="http://schemas.microsoft.com/office/drawing/2010/slicer">
              <sle:slicer xmlns:sle="http://schemas.microsoft.com/office/drawing/2010/slicer" name="Nombre_Asesoría"/>
            </a:graphicData>
          </a:graphic>
        </xdr:graphicFrame>
      </mc:Choice>
      <mc:Fallback xmlns="">
        <xdr:sp macro="" textlink="">
          <xdr:nvSpPr>
            <xdr:cNvPr id="0" name=""/>
            <xdr:cNvSpPr>
              <a:spLocks noTextEdit="1"/>
            </xdr:cNvSpPr>
          </xdr:nvSpPr>
          <xdr:spPr>
            <a:xfrm>
              <a:off x="14392274" y="6829425"/>
              <a:ext cx="2454275" cy="18573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981075</xdr:colOff>
      <xdr:row>0</xdr:row>
      <xdr:rowOff>0</xdr:rowOff>
    </xdr:from>
    <xdr:to>
      <xdr:col>0</xdr:col>
      <xdr:colOff>981075</xdr:colOff>
      <xdr:row>0</xdr:row>
      <xdr:rowOff>0</xdr:rowOff>
    </xdr:to>
    <mc:AlternateContent xmlns:mc="http://schemas.openxmlformats.org/markup-compatibility/2006">
      <mc:Choice xmlns:we="http://schemas.microsoft.com/office/webextensions/webextension/2010/11" Requires="we">
        <xdr:graphicFrame macro="">
          <xdr:nvGraphicFramePr>
            <xdr:cNvPr id="3" name="Complemento 2" title="Mini Calendar and Date Picker">
              <a:extLst>
                <a:ext uri="{FF2B5EF4-FFF2-40B4-BE49-F238E27FC236}">
                  <a16:creationId xmlns:a16="http://schemas.microsoft.com/office/drawing/2014/main" id="{3B6A953A-5481-A615-609C-365A932A798E}"/>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3" name="Complemento 2" title="Mini Calendar and Date Picker">
              <a:extLst>
                <a:ext uri="{FF2B5EF4-FFF2-40B4-BE49-F238E27FC236}">
                  <a16:creationId xmlns:a16="http://schemas.microsoft.com/office/drawing/2014/main" id="{3B6A953A-5481-A615-609C-365A932A798E}"/>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17.731920833336" createdVersion="8" refreshedVersion="8" minRefreshableVersion="3" recordCount="251" xr:uid="{39B753E3-5484-45AE-8449-837CF0AD42FC}">
  <cacheSource type="worksheet">
    <worksheetSource ref="A1:R253" sheet="Registro asesorías"/>
  </cacheSource>
  <cacheFields count="18">
    <cacheField name="Nombre_Facultad" numFmtId="0">
      <sharedItems containsBlank="1"/>
    </cacheField>
    <cacheField name="Nombre_Programa" numFmtId="0">
      <sharedItems containsBlank="1" count="32">
        <s v="Maestría en Desarrollo Infantil"/>
        <s v="Maestría en Tributación"/>
        <s v="Doctorado en Desarrollo Sostenible"/>
        <s v="Maestría en Gestión Estratégica de la Información"/>
        <s v="Maestría en Educación"/>
        <m/>
        <s v="Maestría en Educación desde la Diversidad"/>
        <s v="Especialización en Sistemas de Información Geográfica"/>
        <s v="Maestría en Mercadeo"/>
        <s v="Doctorado en Derecho"/>
        <s v="Maestría en Desarrollo Sostenible y Medio Ambiente - Virtual"/>
        <s v="Ingeniería de Sistemas y Telecomunicaciones"/>
        <s v="Doctorado en Ciencias Sociales, Niñez y Juventud"/>
        <s v="Maestría  en Tributación"/>
        <s v="Magíster en Economía"/>
        <s v="Especialización en Telecomunicaciones"/>
        <s v="Maestría en Economía"/>
        <s v="Contaduría Pública"/>
        <s v="Maestría en Psicología Clínica"/>
        <s v="Maestría en Educación y Desarrollo Humano "/>
        <s v="Magister en Educación"/>
        <s v="Maestría en Finanzas"/>
        <s v="Mercadeo Nacional e Internacional"/>
        <s v="Maestría en Desarrollo Sostenible y Medio Ambiente"/>
        <s v="Especialización en Gerencia del Talento Humano"/>
        <s v="Maestría en Gerencia del Talento Humano"/>
        <s v="Maestría en Bioinformática y Biología Computacional"/>
        <s v="Ingeniería Logística"/>
        <s v="Maestría en Ciencias Forenses"/>
        <s v="Maestría en Derecho"/>
        <s v="Finanzas y Negocios Internacionales (Virtual)"/>
        <s v="Maestría en Educación y Transformación Digital"/>
      </sharedItems>
    </cacheField>
    <cacheField name="Identificación_Usuario" numFmtId="0">
      <sharedItems containsBlank="1" containsMixedTypes="1" containsNumber="1" containsInteger="1" minValue="7179342" maxValue="3054158538"/>
    </cacheField>
    <cacheField name="Nombre_Usuario" numFmtId="0">
      <sharedItems containsBlank="1" count="233">
        <s v="Adriana Cardona Montes"/>
        <s v="Valentina Ceballos Montoya"/>
        <s v="Julieth Maritza Rosales Erazo"/>
        <s v="Gina Tatiana Sandoval Vélez"/>
        <s v="Andrés Mauricio Cardona Aguirre"/>
        <s v="Carlos Augusto Jiménez Laverde"/>
        <s v="Luisa Fernanda Sierra Betancourt"/>
        <s v="Héctor Edwin Beltrán Gutiérrez"/>
        <s v="Alexander Valencia Valencia"/>
        <s v="Jenny Alexandra Castillo Vásquez"/>
        <s v="Rosa Lilia Villa Salazar"/>
        <s v="Dilsa Mireya Jiménez Neira"/>
        <s v="Karolina Castillo Murillo"/>
        <s v="Adriana López Pinchao"/>
        <s v="Sandra del Socorro Márquez"/>
        <s v="Esmeralda Cajiao Cajiao"/>
        <s v="Herbert Orlando Gómez Quijano"/>
        <s v="Andrés Felipe Castro Flórez"/>
        <s v="Salomé Franco Patiño"/>
        <s v="Yuliana Jaramillo Ortiz"/>
        <s v="Wilmer Ossa Tobar"/>
        <s v="Diana Molina Acuña"/>
        <s v="Lucy Johana Fuertes Ortiz"/>
        <s v="Luisa Fernanda Sánchez Betancourt"/>
        <s v="Lorena Osorio Almanza"/>
        <s v="Carlos Andrés Barco Rojas"/>
        <s v="Johana Jaimes Valbuena"/>
        <s v="Laura Milena Parra Gómez"/>
        <s v="Carlos Andrés Mendoza S"/>
        <s v="Johana   Quintero"/>
        <s v="Andrés Felipe Rios"/>
        <s v="Laura Orozco Santafé"/>
        <s v="Saul Prieto Moncayo"/>
        <s v="Leidy Julieth Artunduaga "/>
        <s v="Héctor Alexánder López Leguizamón"/>
        <s v="Luisa Fernanda Solórzano Galindo"/>
        <s v="Angie Yorleni Gordillo Sánchez "/>
        <s v="Julian Camilo Saray Montenegro "/>
        <s v="Viviana Marcela Chicangana Ramírez"/>
        <s v="Jhon Harol López Pérez"/>
        <s v="Diana Marcela Quintero García"/>
        <s v="Eider Antonio Montenegro Ortega"/>
        <s v="Rubén Darío Betancur López "/>
        <s v="Julián Andrés Tabarquino Mápura"/>
        <s v="Sayan Camilo Mosquera Román"/>
        <s v="Eilyn Dayhanna Buitrago Duque"/>
        <s v="Michael David Herrada Castañeda"/>
        <s v="Gabriel Alejandro Mesa Salamanca "/>
        <s v="Kevin Santiago Rodriguez Leon "/>
        <s v="Angie Shirley Mendoza Cañon "/>
        <s v="William Eduardo Torres Gutierrez "/>
        <s v="John James Borbón Gómez"/>
        <s v="José Luis Jiménez Hurtado"/>
        <s v="Carlos Alfredo Piscal López"/>
        <s v="Maria Alejandra Melo Poveda"/>
        <s v="David Gallego García"/>
        <s v="Olga Lucía Giraldo Correa "/>
        <s v="Sofia Giraldo Moreno"/>
        <s v="Leidy Juliet Artunduaga Gómez"/>
        <s v="Juan Sebastian Romero Charry"/>
        <s v="Oscar Raul Jaimes Rincon"/>
        <s v="Juan Manuel Osorio Giraldo"/>
        <s v="Yon Genis Aristizábal Trujillo"/>
        <s v="Yuly Natalia Marrero Valencia"/>
        <s v="Luisa Fernanda Castaño Orozco "/>
        <s v="Jorge Luis Bedoya"/>
        <s v="DARWIN SUAZA HENDEZ"/>
        <s v="DIANA ANDREA RODRÍGUEZ LOAIZA"/>
        <s v="DIEGO FERNANDO ORTEGA GUERRERO"/>
        <s v="Marcela Pedraza"/>
        <s v="Maria Victoria León Grimaldos"/>
        <s v="Diana Marcela Molina Argote"/>
        <s v="CARLOS MARIO FLOREZ VELASQUEZ"/>
        <s v="Lina María Fajardo Rentería"/>
        <s v="Margorieth Gonzalez Ramos"/>
        <s v="Diana Milena Ríos Montoya"/>
        <s v="Lina María Arbeláez Rendón"/>
        <s v="Iván Darío Rodríguez Otalora "/>
        <s v="Jaiber Augusto Morales Velásquez "/>
        <s v="Yerson Andrey Velásquez González "/>
        <s v="Laura Isabel Urrego Sandoval"/>
        <s v="María del Pilar Calderon Villegas"/>
        <s v="Juan Camilo Aguirre Rivera "/>
        <s v="MIGUEL ÁNGELO BALLESTEROS VIAFARA. "/>
        <s v="Andrés Felipe Ríos Correa "/>
        <s v="Julián David Castañeda Muñoz "/>
        <s v="Juan Manuel Osorio Giraldo "/>
        <s v="Greisy Lanet Mejía Montes "/>
        <s v="Clodet Cerón Ordoñez"/>
        <s v="Velcy Johana Cerón Ordoñez"/>
        <s v=" Edier Saul Prieto Moncayo"/>
        <s v="Jose Luis Jimenez Hurtado"/>
        <s v="Nicolás Sebastián Becerra Guerrero"/>
        <s v="Diego Atilano Trujillo Torres"/>
        <s v="Laura Lucia Castro Ocampo"/>
        <s v="Diana Lorena Vélez Ramírez"/>
        <s v="Emma Sofía Corredor Camargo"/>
        <s v="Luis Carlos Villanueva Ospina"/>
        <s v="Yaby Daneyi Imbachi Molano"/>
        <s v="Diego Fernando Rodriguez "/>
        <s v="Angie Yorleni Gordillo Sánchez"/>
        <s v="Julián Camilo Saray Montenegro"/>
        <s v="Christian Jhair Abella Bernal "/>
        <s v="Fabio Neira Alzate "/>
        <s v="Diego Fernando Cadena Vélez "/>
        <s v="Rubén Darío Torres Sánchez"/>
        <s v="JAIRO ALEXANDER ARROYAVE MIRANDA"/>
        <s v=" Carlos Martin Quintero Garrido"/>
        <s v="Rubén Arlex Pineda Ocampo"/>
        <s v="EMMA  SOFIA CORREDOR CAMARGO"/>
        <s v="Liseth Stefania Lara Quiñones"/>
        <s v="Angie Paola Umaña Orjuela"/>
        <s v="Olinda Marcela Uribe Pinzón"/>
        <s v="Hidelber Antonio Correa Holguín"/>
        <s v="Kayra Jeliana Amador Martínez"/>
        <s v="Edgar Mauricio Delgado Pérez"/>
        <s v="Carolina Marín Romero"/>
        <s v="Monica María Loaiza Cárdenas"/>
        <s v="Mónica Loaiza"/>
        <s v="Carlos Andrés Silva Ortiz"/>
        <s v="Juan Diego López Ospina"/>
        <s v="Francisco Antonio Escobar Patiño"/>
        <s v="Ruben Dario BETANCUR LOPEZ "/>
        <s v="Julián AndrésTabarquino Mápura "/>
        <s v="Juan David Granados Rincón"/>
        <s v="Juan David Martínez Urquijo"/>
        <s v="Juan Fernando Alvis González"/>
        <s v="Leidy Liliana Melo Caicedo"/>
        <s v="Yeimi Carolina García Ospina  "/>
        <s v="Ottman Yeshid Salazar Morales  "/>
        <s v="Sandra Marcela Causil Simanca"/>
        <s v="Maria Paula Lora Chadid"/>
        <s v="Yadira Lisbeth Amaya Colmenares"/>
        <s v="Alejandra Acuña"/>
        <s v="Juan David Gomez Tabares"/>
        <s v="Luz Maribel Victoria Gómez"/>
        <s v="Juan daniel Mejia restrepo"/>
        <s v="Luis Francisco  Melo Rojas"/>
        <s v="Leidy Edith Mosquera Nova"/>
        <s v="Sandra Marcela Alzate Herrera"/>
        <s v="Linda Johana Galeano Romero"/>
        <s v="Luisa Fernanda Solorzano Galind"/>
        <s v="ANDRES FELIPE PERDOMO JARAMILLO"/>
        <s v="Juan Camilo Osorio Rojas"/>
        <s v="Diana Lorena Criollo Córdoba"/>
        <s v="Henry Alvarado Avella "/>
        <s v="Cristian Andrés Polanía Calderón "/>
        <s v="DIANA CAROLINA NIEVES VARGAS "/>
        <s v=" LUISA FERANDA TRUJILLO PENAGOS "/>
        <s v=" HARBY ANDRES RODRIGUEZ CAMACHO "/>
        <s v="Valentina Ceballos Montoya "/>
        <s v="Ingrid Juanita Hoyos Gómez"/>
        <s v="Valentina Buitrago Londoño "/>
        <s v="Jorge Hernán Marín Londoño"/>
        <s v="Stefania Valderrama Madrigal"/>
        <s v="Luis Francisco Melo Rojas"/>
        <s v="Mariana Sofía Candamil Cortés "/>
        <s v="Juan David Jamioy Cabrera "/>
        <s v="Angie Carolay Rodríguez Cosme"/>
        <s v="Nika Cuellar Cuenca"/>
        <s v="Andrés Mauricio Cardona Aguirre "/>
        <s v="JOSE ZAID AVILA LÓPEZ"/>
        <s v="Kerlyn Dahiana Betancourth Ríos "/>
        <s v="Laura Cristina Gómez Rivera "/>
        <s v="Jhon Eddison Ortega Jácome"/>
        <s v="Jhon Eduard Machado Ortiz"/>
        <s v="Daniela Salgado Pérez "/>
        <s v="Carolina Marín Romero "/>
        <s v="Mónica María Loaiza Cárdenas"/>
        <s v="Yadira Amaya"/>
        <s v="Carlos Andres Palacio Gaviria"/>
        <s v="Juan Manuel Alzate Hernández "/>
        <s v="Moisés Elías Alexander Taborda"/>
        <s v="Fausto Mejía Restrepo"/>
        <s v="Carol viviana betancur velasquez"/>
        <s v=" Diego J. Calderón Villanueva  "/>
        <s v="  Yeison Levi Mesa Tibaduiza  "/>
        <s v="Yeny Fernanda Rosero Ordoñez "/>
        <s v="Daniela Geraldinne Ahumada Cabarcas "/>
        <s v="Claudia Paola Muñoz Bravo "/>
        <s v="Yeny Lorena Salgado Cardona"/>
        <s v="Yuliette Lorena Tribiño Cuellar"/>
        <s v="Lester Fabian Garrido Arenas"/>
        <s v="THOMAS GUZMÁN LÓPEZ"/>
        <s v="NICOLÁS ALEJANDRO BLANDÓN BOTÍA"/>
        <s v="Julián Castañeda"/>
        <s v="Daniela Ahumada Cabarcas "/>
        <s v="Diego Jose Calderón Villanueva "/>
        <s v="Yeison Levi Mesa Tibaduiza"/>
        <s v="Kerlyn Dahiana Betancourt"/>
        <s v="Laura Cristina Gómez Rivera"/>
        <s v="Jhorman Alejandro Gómez Arroyave"/>
        <s v="Sandra Mónica Garcés Viloria"/>
        <s v="Maria Camila Palacios Aldana"/>
        <s v="Diego Alejandro Calderon Diaz"/>
        <s v="Francisco José Restrepo Sulez"/>
        <s v="Andrés Felipe Castro Torres "/>
        <s v="Diana Sofia García Quiroz "/>
        <s v="Miguel Angel Acero Arango "/>
        <s v="Reisner de Jesús Ravelo Méndez"/>
        <s v="Cristian Andrés Olaya García"/>
        <s v="Vanessa Guerrero Benavides"/>
        <s v="María Camila Palacios Aldana"/>
        <s v="Christian Alexander Botina Cordoba"/>
        <s v="Natalia Agudelo Restrepo"/>
        <s v="Michell Karime Hernández"/>
        <s v="Jhon Eddison Ortega Jacome"/>
        <s v="Andrés Felipe Castro Torres"/>
        <m/>
        <s v="Yeison Pineda Castillo"/>
        <s v="Cristian Alberto Torres Carmona"/>
        <s v="Tatiana Reyes Giraldo"/>
        <s v="Andrés Felipe Perdomo Jaramillo "/>
        <s v="Sarith Daneyi Bahos Torres"/>
        <s v="Yury Disney Patiño Meneses"/>
        <s v="René Hernández Toro"/>
        <s v="Andrés Hernán Rubio Gaviria"/>
        <s v="Sandra Rubio Gaviria"/>
        <s v="DORIS ELISA ARANGO MORENO"/>
        <s v="ALEXANDRA PEREA VELÁSQUEZ"/>
        <s v="Laura Giraldo Yepes"/>
        <s v="Lilia Patiño Hurtado"/>
        <s v="Liceth Lorena Isaza López"/>
        <s v="Fausto Edward Moreno Rentería"/>
        <s v="Laura María Cardona Cardona"/>
        <s v="Yeimy Bibiana Diaz Tenorio "/>
        <s v="Yeison Andres Perez Paz"/>
        <s v="Mar judith Tróchez"/>
        <s v="Luis Miguel Ardila "/>
        <s v="Jorge Luis Paloma"/>
        <s v="Jonatan Fernando Cadena Cortés"/>
        <s v="Angie Loreni Villa Loaiza"/>
        <s v="Aníbal Andrés Cabrera Calderón"/>
      </sharedItems>
    </cacheField>
    <cacheField name="Asesor_Recursos_Académicos" numFmtId="0">
      <sharedItems containsBlank="1"/>
    </cacheField>
    <cacheField name="Nombre_Asesoría" numFmtId="0">
      <sharedItems containsBlank="1" count="3">
        <s v="APA (7 ed. 2020) _x000a_American Psychological Association "/>
        <s v="Temas_Centro_Escritura"/>
        <m/>
      </sharedItems>
    </cacheField>
    <cacheField name="Modalidad_Asesoría" numFmtId="0">
      <sharedItems containsBlank="1"/>
    </cacheField>
    <cacheField name="Asesor_Metodológico" numFmtId="0">
      <sharedItems containsBlank="1"/>
    </cacheField>
    <cacheField name="Título_Trabajo_Grado" numFmtId="0">
      <sharedItems containsBlank="1" longText="1"/>
    </cacheField>
    <cacheField name="Fecha" numFmtId="0">
      <sharedItems containsDate="1" containsBlank="1" containsMixedTypes="1" minDate="1900-01-04T00:00:00" maxDate="2025-06-07T00:00:00"/>
    </cacheField>
    <cacheField name="Revisión Inicial" numFmtId="0">
      <sharedItems containsBlank="1"/>
    </cacheField>
    <cacheField name="Revisión de Plantilla" numFmtId="0">
      <sharedItems containsBlank="1"/>
    </cacheField>
    <cacheField name="Aprobación_Referencistas" numFmtId="0">
      <sharedItems containsBlank="1"/>
    </cacheField>
    <cacheField name="Aprobación_Servicios" numFmtId="0">
      <sharedItems containsNonDate="0" containsString="0" containsBlank="1"/>
    </cacheField>
    <cacheField name="Observaciones" numFmtId="0">
      <sharedItems containsBlank="1" longText="1"/>
    </cacheField>
    <cacheField name="Escaneado Turnitin" numFmtId="0">
      <sharedItems containsNonDate="0" containsString="0" containsBlank="1"/>
    </cacheField>
    <cacheField name="Porcentaje de Similitud" numFmtId="0">
      <sharedItems containsNonDate="0" containsString="0" containsBlank="1"/>
    </cacheField>
    <cacheField name="Aprobación_Similitu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17.734688194447" createdVersion="8" refreshedVersion="8" minRefreshableVersion="3" recordCount="646" xr:uid="{81963B4D-E723-42C7-A5C4-F70357036EE5}">
  <cacheSource type="worksheet">
    <worksheetSource name="Tabla3"/>
  </cacheSource>
  <cacheFields count="18">
    <cacheField name="Nombre_Facultad" numFmtId="0">
      <sharedItems containsBlank="1" count="7">
        <s v="Facultad_Ciencias_Sociales_Humanas"/>
        <s v="Facultad_Ciencias_Contables_Económicas_Administrativas"/>
        <s v="Facultad_Ciencias_Ingenierías"/>
        <m/>
        <s v="Facultad_Ciencias_Jurídicas"/>
        <s v="Facultad de Ciencias Contables, Económicas y Administrativas"/>
        <s v="Facultad_Ciencias_Salud" u="1"/>
      </sharedItems>
    </cacheField>
    <cacheField name="Nombre_Programa" numFmtId="0">
      <sharedItems containsBlank="1" count="45">
        <s v="Maestría en Desarrollo Infantil"/>
        <s v="Maestría en Tributación"/>
        <s v="Doctorado en Desarrollo Sostenible"/>
        <s v="Maestría en Gestión Estratégica de la Información"/>
        <s v="Maestría en Educación"/>
        <m/>
        <s v="Maestría en Educación desde la Diversidad"/>
        <s v="Especialización en Sistemas de Información Geográfica"/>
        <s v="Maestría en Mercadeo"/>
        <s v="Doctorado en Derecho"/>
        <s v="Maestría en Desarrollo Sostenible y Medio Ambiente - Virtual"/>
        <s v="Ingeniería de Sistemas y Telecomunicaciones"/>
        <s v="Doctorado en Ciencias Sociales, Niñez y Juventud"/>
        <s v="Maestría  en Tributación"/>
        <s v="Magíster en Economía"/>
        <s v="Especialización en Telecomunicaciones"/>
        <s v="Maestría en Economía"/>
        <s v="Contaduría Pública"/>
        <s v="Maestría en Psicología Clínica"/>
        <s v="Maestría en Educación y Desarrollo Humano "/>
        <s v="Magister en Educación"/>
        <s v="Maestría en Finanzas"/>
        <s v="Mercadeo Nacional e Internacional"/>
        <s v="Maestría en Desarrollo Sostenible y Medio Ambiente"/>
        <s v="Especialización en Gerencia del Talento Humano"/>
        <s v="Maestría en Gerencia del Talento Humano"/>
        <s v="Maestría en Bioinformática y Biología Computacional"/>
        <s v="Ingeniería Logística"/>
        <s v="Maestría en Ciencias Forenses"/>
        <s v="Maestría en Derecho"/>
        <s v="Finanzas y Negocios Internacionales (Virtual)"/>
        <s v="Maestría en Educación y Transformación Digital"/>
        <s v="Maestría en Educación Docencia - Pereira" u="1"/>
        <s v="Técnica Profesional en Configuración de Servicios para Comercio Electrónico" u="1"/>
        <s v="Mercadeo (Virtual)" u="1"/>
        <s v="Técnico Laboral en Asistencia y Soporte de Tecnologías de la Información" u="1"/>
        <s v="Especialización en Contratación Pública" u="1"/>
        <s v="Especialización en Medicina Crítica y Cuidados Intensivos" u="1"/>
        <s v="Especialización en Resolución de Conflictos, Conciliación y Paz" u="1"/>
        <s v="Premédico" u="1"/>
        <s v="Técnica Profesional en Configuración de Servicios Comerciales Web" u="1"/>
        <s v="Ingeniería de Sistemas (Virtual)" u="1"/>
        <s v="Especialización en Comunicación Organizacional" u="1"/>
        <s v="Especialización en Medicina Interna" u="1"/>
        <s v="Especialización en Sistema Procesal Penal" u="1"/>
      </sharedItems>
    </cacheField>
    <cacheField name="Identificación_Usuario" numFmtId="0">
      <sharedItems containsBlank="1" containsMixedTypes="1" containsNumber="1" containsInteger="1" minValue="7179342" maxValue="3054158538"/>
    </cacheField>
    <cacheField name="Nombre_Usuario" numFmtId="0">
      <sharedItems containsBlank="1"/>
    </cacheField>
    <cacheField name="Asesor_Recursos_Académicos" numFmtId="0">
      <sharedItems containsBlank="1" count="9">
        <s v="Marcela Cerón"/>
        <s v="Juan Pablo Charry"/>
        <s v="Luz Andrea Sepúlveda"/>
        <s v="Harold Estiven García"/>
        <m/>
        <s v="Diego Alejandro Soto"/>
        <s v="Elvia Lucia Sánchez " u="1"/>
        <s v="Harold Steven García" u="1"/>
        <s v="María Eugenia Nieto" u="1"/>
      </sharedItems>
    </cacheField>
    <cacheField name="Nombre_Asesoría" numFmtId="0">
      <sharedItems containsBlank="1" count="6">
        <s v="APA (7 ed. 2020) _x000a_American Psychological Association "/>
        <s v="Temas_Centro_Escritura"/>
        <m/>
        <s v="IEEE (2025)  _x000a_Institute of Electrical and Electronics Engineers  " u="1"/>
        <s v="Vancouver (2018) _x000a_ International Committee of Medical Journal Editors [ICMJE]" u="1"/>
        <s v="Temas_Integridad_Académica" u="1"/>
      </sharedItems>
    </cacheField>
    <cacheField name="Modalidad_Asesoría" numFmtId="0">
      <sharedItems containsBlank="1" count="4">
        <s v="Virtual"/>
        <s v="Presencial"/>
        <m/>
        <s v="A Distancia "/>
      </sharedItems>
    </cacheField>
    <cacheField name="Asesor_Metodológico" numFmtId="0">
      <sharedItems containsBlank="1"/>
    </cacheField>
    <cacheField name="Título_Trabajo_Grado" numFmtId="0">
      <sharedItems containsBlank="1" longText="1"/>
    </cacheField>
    <cacheField name="Fecha" numFmtId="0">
      <sharedItems containsDate="1" containsBlank="1" containsMixedTypes="1" minDate="1900-01-04T00:00:00" maxDate="2025-06-07T00:00:00" count="45">
        <d v="2025-04-22T00:00:00"/>
        <d v="2025-04-11T00:00:00"/>
        <d v="2025-04-17T00:00:00"/>
        <d v="2025-04-30T00:00:00"/>
        <d v="2025-05-12T00:00:00"/>
        <d v="2025-05-13T00:00:00"/>
        <d v="2025-05-15T00:00:00"/>
        <d v="2025-05-14T00:00:00"/>
        <d v="2025-05-07T00:00:00"/>
        <d v="2025-05-05T00:00:00"/>
        <d v="2025-05-23T00:00:00"/>
        <d v="2025-05-26T00:00:00"/>
        <d v="2025-05-27T00:00:00"/>
        <d v="2025-05-28T00:00:00"/>
        <d v="2024-05-28T00:00:00"/>
        <d v="2025-05-29T00:00:00"/>
        <d v="2025-05-30T00:00:00"/>
        <d v="2025-05-31T00:00:00"/>
        <d v="2025-06-03T00:00:00"/>
        <m/>
        <s v="03*06/2025"/>
        <d v="2025-06-04T00:00:00"/>
        <d v="2025-06-05T00:00:00"/>
        <d v="1900-01-04T00:00:00"/>
        <d v="2025-06-06T00:00:00"/>
        <d v="1900-01-05T00:00:00"/>
        <d v="2025-05-24T00:00:00" u="1"/>
        <d v="2025-03-12T00:00:00" u="1"/>
        <d v="2025-04-23T00:00:00" u="1"/>
        <d v="2025-04-24T00:00:00" u="1"/>
        <d v="2025-04-25T00:00:00" u="1"/>
        <d v="2025-04-26T00:00:00" u="1"/>
        <d v="2025-04-27T00:00:00" u="1"/>
        <d v="2025-04-28T00:00:00" u="1"/>
        <d v="2025-04-29T00:00:00" u="1"/>
        <d v="2025-04-15T00:00:00" u="1"/>
        <d v="2025-04-18T00:00:00" u="1"/>
        <d v="2025-03-26T00:00:00" u="1"/>
        <d v="2025-03-11T00:00:00" u="1"/>
        <d v="2025-04-21T00:00:00" u="1"/>
        <d v="2025-04-14T00:00:00" u="1"/>
        <d v="2025-03-13T00:00:00" u="1"/>
        <d v="2025-03-27T00:00:00" u="1"/>
        <d v="2025-04-20T00:00:00" u="1"/>
        <d v="2025-03-10T00:00:00" u="1"/>
      </sharedItems>
    </cacheField>
    <cacheField name="Revisión Inicial" numFmtId="0">
      <sharedItems containsBlank="1"/>
    </cacheField>
    <cacheField name="Revisión de Plantilla" numFmtId="0">
      <sharedItems containsBlank="1"/>
    </cacheField>
    <cacheField name="Aprobación_Referencistas" numFmtId="0">
      <sharedItems containsBlank="1"/>
    </cacheField>
    <cacheField name="Aprobación_Servicios" numFmtId="0">
      <sharedItems containsNonDate="0" containsString="0" containsBlank="1"/>
    </cacheField>
    <cacheField name="Observaciones" numFmtId="0">
      <sharedItems containsBlank="1" longText="1"/>
    </cacheField>
    <cacheField name="Escaneado Turnitin" numFmtId="0">
      <sharedItems containsNonDate="0" containsString="0" containsBlank="1"/>
    </cacheField>
    <cacheField name="Porcentaje de Similitud" numFmtId="0">
      <sharedItems containsNonDate="0" containsString="0" containsBlank="1"/>
    </cacheField>
    <cacheField name="Aprobación_Similitud" numFmtId="0">
      <sharedItems containsNonDate="0" containsString="0" containsBlank="1"/>
    </cacheField>
  </cacheFields>
  <extLst>
    <ext xmlns:x14="http://schemas.microsoft.com/office/spreadsheetml/2009/9/main" uri="{725AE2AE-9491-48be-B2B4-4EB974FC3084}">
      <x14:pivotCacheDefinition pivotCacheId="90417215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1">
  <r>
    <s v="Facultad_Ciencias_Sociales_Humanas"/>
    <x v="0"/>
    <n v="303233100"/>
    <x v="0"/>
    <s v="Marcela Cerón"/>
    <x v="0"/>
    <s v="Virtual"/>
    <m/>
    <m/>
    <d v="2025-04-22T00:00:00"/>
    <m/>
    <m/>
    <m/>
    <m/>
    <m/>
    <m/>
    <m/>
    <m/>
  </r>
  <r>
    <s v="Facultad_Ciencias_Sociales_Humanas"/>
    <x v="0"/>
    <n v="130621528"/>
    <x v="1"/>
    <s v="Marcela Cerón"/>
    <x v="0"/>
    <s v="Virtual"/>
    <m/>
    <m/>
    <d v="2025-04-22T00:00:00"/>
    <m/>
    <s v="Luz Andrea Sepúlveda"/>
    <m/>
    <m/>
    <s v="listo"/>
    <m/>
    <m/>
    <m/>
  </r>
  <r>
    <s v="Facultad_Ciencias_Sociales_Humanas"/>
    <x v="0"/>
    <n v="1026574422"/>
    <x v="2"/>
    <s v="Marcela Cerón"/>
    <x v="0"/>
    <s v="Virtual"/>
    <s v="Jaime Alberto Restrepo Soto"/>
    <s v="Prácticas colaborativas y de cuidado en un centro educativo infantil privado, Sistematización de la experiencia"/>
    <d v="2025-04-22T00:00:00"/>
    <m/>
    <s v="Harold Estiven García"/>
    <s v="Si"/>
    <m/>
    <m/>
    <m/>
    <m/>
    <m/>
  </r>
  <r>
    <s v="Facultad_Ciencias_Sociales_Humanas"/>
    <x v="0"/>
    <n v="67039042"/>
    <x v="3"/>
    <s v="Marcela Cerón"/>
    <x v="0"/>
    <s v="Virtual"/>
    <m/>
    <m/>
    <d v="2025-04-22T00:00:00"/>
    <m/>
    <m/>
    <m/>
    <m/>
    <m/>
    <m/>
    <m/>
    <m/>
  </r>
  <r>
    <s v="Facultad_Ciencias_Sociales_Humanas"/>
    <x v="0"/>
    <n v="75104174"/>
    <x v="4"/>
    <s v="Marcela Cerón"/>
    <x v="0"/>
    <s v="Virtual"/>
    <m/>
    <m/>
    <d v="2025-04-22T00:00:00"/>
    <m/>
    <m/>
    <m/>
    <m/>
    <m/>
    <m/>
    <m/>
    <m/>
  </r>
  <r>
    <s v="Facultad_Ciencias_Sociales_Humanas"/>
    <x v="0"/>
    <n v="16553187"/>
    <x v="5"/>
    <s v="Marcela Cerón"/>
    <x v="0"/>
    <s v="Virtual"/>
    <m/>
    <m/>
    <d v="2025-04-22T00:00:00"/>
    <m/>
    <m/>
    <m/>
    <m/>
    <m/>
    <m/>
    <m/>
    <m/>
  </r>
  <r>
    <s v="Facultad_Ciencias_Contables_Económicas_Administrativas"/>
    <x v="1"/>
    <n v="28817433"/>
    <x v="6"/>
    <s v="Marcela Cerón"/>
    <x v="0"/>
    <s v="Virtual"/>
    <s v="Julián Gómez Sánchez, John Jairo Restrepo Lizcano"/>
    <m/>
    <d v="2025-04-22T00:00:00"/>
    <m/>
    <m/>
    <m/>
    <m/>
    <m/>
    <m/>
    <m/>
    <m/>
  </r>
  <r>
    <s v="Facultad_Ciencias_Contables_Económicas_Administrativas"/>
    <x v="2"/>
    <n v="79590698"/>
    <x v="7"/>
    <s v="Juan Pablo Charry"/>
    <x v="0"/>
    <s v="Virtual"/>
    <m/>
    <s v="El cambio climático en el contexto de la comunicación y percepción de poblaciones focales a la luz de los objetivos de desarrollo sostenible_x000a__x000a_Nombre directora trabajo grado: Gloria Yaneth Flórez Yepes"/>
    <d v="2025-04-11T00:00:00"/>
    <m/>
    <m/>
    <m/>
    <m/>
    <m/>
    <m/>
    <m/>
    <m/>
  </r>
  <r>
    <s v="Facultad_Ciencias_Ingenierías"/>
    <x v="3"/>
    <n v="1053773060"/>
    <x v="8"/>
    <s v="Luz Andrea Sepúlveda"/>
    <x v="0"/>
    <s v="Presencial"/>
    <m/>
    <s v="Evaluación del &quot;Preprocesamiento de Documentos&quot; y &quot;Configuración del Recuperador&quot; en un Asistente Inteligente Basado en RAG .                              Director trabajo de grado: Juan Pablo Giraldo Rendón"/>
    <d v="2025-04-17T00:00:00"/>
    <m/>
    <s v="Luz Andrea Sepúlveda"/>
    <m/>
    <m/>
    <m/>
    <m/>
    <m/>
    <m/>
  </r>
  <r>
    <s v="Facultad_Ciencias_Sociales_Humanas"/>
    <x v="4"/>
    <n v="1094921747"/>
    <x v="9"/>
    <s v="Marcela Cerón"/>
    <x v="1"/>
    <s v="Virtual"/>
    <m/>
    <s v="Familia, desempeño académico y emociones: una propuesta metodológica sobre la influencia del apoyo familiar y la gestión emocional, en el desempeño académico de los estudiantes. Director trabajo de grado, Juan Carlos Rodríguez."/>
    <d v="2025-04-30T00:00:00"/>
    <m/>
    <m/>
    <m/>
    <m/>
    <m/>
    <m/>
    <m/>
    <m/>
  </r>
  <r>
    <s v="Facultad_Ciencias_Sociales_Humanas"/>
    <x v="4"/>
    <n v="24729328"/>
    <x v="10"/>
    <s v="Marcela Cerón"/>
    <x v="1"/>
    <s v="Virtual"/>
    <m/>
    <s v="Familia, desempeño académico y emociones: una propuesta metodológica sobre la influencia del apoyo familiar y la gestión emocional, en el desempeño académico de los estudiantes. Director trabajo de grado, Juan Carlos Rodríguez."/>
    <d v="2025-04-30T00:00:00"/>
    <m/>
    <m/>
    <m/>
    <m/>
    <m/>
    <m/>
    <m/>
    <m/>
  </r>
  <r>
    <s v="Facultad_Ciencias_Sociales_Humanas"/>
    <x v="4"/>
    <n v="33368779"/>
    <x v="11"/>
    <s v="Marcela Cerón"/>
    <x v="1"/>
    <s v="Virtual"/>
    <m/>
    <s v="El color: una propuesta pedagógica inspirada en la sistematización autobiográfica de Dilsa Jiménez. Director trabajo de grado, Juan Carlos Rodríguez."/>
    <d v="2025-04-30T00:00:00"/>
    <m/>
    <m/>
    <m/>
    <m/>
    <m/>
    <m/>
    <m/>
    <m/>
  </r>
  <r>
    <s v="Facultad_Ciencias_Sociales_Humanas"/>
    <x v="4"/>
    <n v="29122212"/>
    <x v="12"/>
    <s v="Marcela Cerón"/>
    <x v="1"/>
    <s v="Virtual"/>
    <m/>
    <s v="Impacto de estrategias de educación emocional  y su incidencia en el bienestar subjetivo de los docentes para el fortalecimiento de la convivencia escolar en la Institución Educativa General José María Cabal de la ciudad de Cali durante el período 2020-2023. Director trabajo de grado, Juan Carlos Rodríguez."/>
    <d v="2025-04-30T00:00:00"/>
    <m/>
    <m/>
    <m/>
    <m/>
    <m/>
    <m/>
    <m/>
    <m/>
  </r>
  <r>
    <m/>
    <x v="5"/>
    <n v="67039341"/>
    <x v="13"/>
    <s v="Marcela Cerón"/>
    <x v="1"/>
    <s v="Virtual"/>
    <m/>
    <s v="Impacto de estrategias de educación emocional  y su incidencia en el bienestar subjetivo de los docentes para el fortalecimiento de la convivencia escolar en la Institución Educativa General José María Cabal de la ciudad de Cali durante el período 2020-2023. Director trabajo de grado, Juan Carlos Rodríguez."/>
    <d v="2025-04-30T00:00:00"/>
    <m/>
    <m/>
    <m/>
    <m/>
    <m/>
    <m/>
    <m/>
    <m/>
  </r>
  <r>
    <s v="Facultad_Ciencias_Sociales_Humanas"/>
    <x v="4"/>
    <n v="31886650"/>
    <x v="14"/>
    <s v="Marcela Cerón"/>
    <x v="1"/>
    <s v="Virtual"/>
    <m/>
    <s v="Impacto de estrategias de educación emocional  y su incidencia en el bienestar subjetivo de los docentes para el fortalecimiento de la convivencia escolar en la Institución Educativa General José María Cabal de la ciudad de Cali durante el período 2020-2023. Director trabajo de grado, Juan Carlos Rodríguez."/>
    <d v="2025-04-30T00:00:00"/>
    <m/>
    <m/>
    <m/>
    <m/>
    <m/>
    <m/>
    <m/>
    <m/>
  </r>
  <r>
    <s v="Facultad_Ciencias_Sociales_Humanas"/>
    <x v="4"/>
    <m/>
    <x v="15"/>
    <s v="Marcela Cerón"/>
    <x v="1"/>
    <s v="Virtual"/>
    <m/>
    <s v="Pensamiento matemático - Práctica pedagógica - Gestión emocional. Director trabajo de grado, Juan Carlos Rodríguez."/>
    <d v="2025-04-30T00:00:00"/>
    <m/>
    <m/>
    <m/>
    <m/>
    <m/>
    <m/>
    <m/>
    <m/>
  </r>
  <r>
    <s v="Facultad_Ciencias_Sociales_Humanas"/>
    <x v="4"/>
    <m/>
    <x v="16"/>
    <s v="Marcela Cerón"/>
    <x v="1"/>
    <s v="Virtual"/>
    <m/>
    <s v="Pensamiento matemático - Práctica pedagógica - Gestión emocional. Director trabajo de grado, Juan Carlos Rodríguez."/>
    <d v="2025-04-30T00:00:00"/>
    <m/>
    <m/>
    <m/>
    <m/>
    <m/>
    <m/>
    <m/>
    <m/>
  </r>
  <r>
    <s v="Facultad_Ciencias_Sociales_Humanas"/>
    <x v="4"/>
    <n v="75088144"/>
    <x v="17"/>
    <s v="Marcela Cerón"/>
    <x v="1"/>
    <s v="Virtual"/>
    <m/>
    <s v="Prácticas pedagógicas, entornos saludables y gestión emocional. Director trabajo de grado, Juan Carlos Rodríguez."/>
    <d v="2025-04-30T00:00:00"/>
    <m/>
    <s v="Harold Estiven García"/>
    <s v="No"/>
    <m/>
    <s v="Todo el artículo está muy bien estructurado. Realizar solo dos pequeños ajustes: 1. En el formato de autorización, agregar el título en el campo que corresponde, debajo de la fecha 2. En la portada del trabajo, seleccionar el tipo de documento (artículo de investigación, artículo de revisión, tesis, etc)."/>
    <m/>
    <m/>
    <m/>
  </r>
  <r>
    <s v="Facultad_Ciencias_Sociales_Humanas"/>
    <x v="4"/>
    <m/>
    <x v="18"/>
    <s v="Marcela Cerón"/>
    <x v="1"/>
    <s v="Virtual"/>
    <m/>
    <s v="Prácticas pedagógicas, entornos saludables y gestión emocional. Director trabajo de grado, Juan Carlos Rodríguez."/>
    <d v="2025-04-30T00:00:00"/>
    <m/>
    <s v="Harold Estiven García"/>
    <s v="No"/>
    <m/>
    <s v="Todo el artículo está muy bien estructurado. Realizar solo dos pequeños ajustes: 1. En el formato de autorización, agregar el título en el campo que corresponde, debajo de la fecha 2. En la portada del trabajo, seleccionar el tipo de documento (artículo de investigación, artículo de revisión, tesis, etc)."/>
    <m/>
    <m/>
    <m/>
  </r>
  <r>
    <s v="Facultad_Ciencias_Sociales_Humanas"/>
    <x v="4"/>
    <n v="1225091014"/>
    <x v="19"/>
    <s v="Marcela Cerón"/>
    <x v="1"/>
    <s v="Virtual"/>
    <m/>
    <s v="Gestión emocional y su relación con los estilos parentales experimentados durante la infancia: un estudio en padres de la Escuela maternal sembradores de Dios de Cali. Director trabajo de grado, Juan Carlos Rodríguez."/>
    <d v="2025-04-30T00:00:00"/>
    <m/>
    <m/>
    <m/>
    <m/>
    <m/>
    <m/>
    <m/>
    <m/>
  </r>
  <r>
    <s v="Facultad_Ciencias_Sociales_Humanas"/>
    <x v="4"/>
    <n v="94510921"/>
    <x v="20"/>
    <s v="Marcela Cerón"/>
    <x v="1"/>
    <s v="Virtual"/>
    <m/>
    <s v="Gestión emocional y su relación con los estilos parentales experimentados durante la infancia: un estudio en padres de la Escuela maternal sembradores de Dios de Cali. Director trabajo de grado, Juan Carlos Rodríguez."/>
    <d v="2025-04-30T00:00:00"/>
    <m/>
    <m/>
    <m/>
    <m/>
    <m/>
    <m/>
    <m/>
    <m/>
  </r>
  <r>
    <s v="Facultad_Ciencias_Sociales_Humanas"/>
    <x v="6"/>
    <m/>
    <x v="21"/>
    <s v="Marcela Cerón"/>
    <x v="1"/>
    <s v="Virtual"/>
    <m/>
    <s v="El sabatino en los contextos familiares: las prácticas pedagógicas que cambian vidas. Director trabajo de grado, Juan Carlos Rodríguez."/>
    <d v="2025-04-30T00:00:00"/>
    <m/>
    <m/>
    <m/>
    <m/>
    <m/>
    <m/>
    <m/>
    <m/>
  </r>
  <r>
    <s v="Facultad_Ciencias_Sociales_Humanas"/>
    <x v="6"/>
    <m/>
    <x v="22"/>
    <s v="Marcela Cerón"/>
    <x v="1"/>
    <s v="Virtual"/>
    <m/>
    <s v="El sabatino en los contextos familiares: Las prácticas pedagógicas que cambian vidas. Director de trabajo de grado, Juan Carlos Rodríguez."/>
    <d v="2025-04-30T00:00:00"/>
    <m/>
    <m/>
    <m/>
    <m/>
    <m/>
    <m/>
    <m/>
    <m/>
  </r>
  <r>
    <s v="Facultad_Ciencias_Contables_Económicas_Administrativas"/>
    <x v="1"/>
    <n v="28817433"/>
    <x v="23"/>
    <s v="Marcela Cerón"/>
    <x v="1"/>
    <s v="Virtual"/>
    <m/>
    <s v="Directores de trabajo de grado, Julián Gómez Sánchez y John Jairo Restrepo Lizcano."/>
    <d v="2025-04-30T00:00:00"/>
    <m/>
    <m/>
    <m/>
    <m/>
    <s v="No enviaron el nombre de su artículo"/>
    <m/>
    <m/>
    <m/>
  </r>
  <r>
    <s v="Facultad_Ciencias_Ingenierías"/>
    <x v="7"/>
    <m/>
    <x v="24"/>
    <s v="Luz Andrea Sepúlveda"/>
    <x v="0"/>
    <s v="Virtual"/>
    <m/>
    <m/>
    <d v="2025-05-12T00:00:00"/>
    <m/>
    <m/>
    <m/>
    <m/>
    <m/>
    <m/>
    <m/>
    <m/>
  </r>
  <r>
    <s v="Facultad_Ciencias_Ingenierías"/>
    <x v="7"/>
    <m/>
    <x v="25"/>
    <s v="Luz Andrea Sepúlveda"/>
    <x v="0"/>
    <s v="Virtual"/>
    <m/>
    <m/>
    <d v="2025-05-12T00:00:00"/>
    <m/>
    <m/>
    <m/>
    <m/>
    <m/>
    <m/>
    <m/>
    <m/>
  </r>
  <r>
    <s v="Facultad_Ciencias_Ingenierías"/>
    <x v="7"/>
    <m/>
    <x v="26"/>
    <s v="Luz Andrea Sepúlveda"/>
    <x v="0"/>
    <s v="Virtual"/>
    <m/>
    <m/>
    <d v="2025-05-12T00:00:00"/>
    <m/>
    <m/>
    <m/>
    <m/>
    <m/>
    <m/>
    <m/>
    <m/>
  </r>
  <r>
    <s v="Facultad_Ciencias_Ingenierías"/>
    <x v="7"/>
    <m/>
    <x v="27"/>
    <s v="Luz Andrea Sepúlveda"/>
    <x v="0"/>
    <s v="Virtual"/>
    <m/>
    <m/>
    <d v="2025-05-12T00:00:00"/>
    <m/>
    <m/>
    <m/>
    <m/>
    <m/>
    <m/>
    <m/>
    <m/>
  </r>
  <r>
    <s v="Facultad_Ciencias_Ingenierías"/>
    <x v="7"/>
    <m/>
    <x v="28"/>
    <s v="Luz Andrea Sepúlveda"/>
    <x v="0"/>
    <s v="Virtual"/>
    <m/>
    <m/>
    <d v="2025-05-12T00:00:00"/>
    <m/>
    <m/>
    <m/>
    <m/>
    <m/>
    <m/>
    <m/>
    <m/>
  </r>
  <r>
    <s v="Facultad_Ciencias_Ingenierías"/>
    <x v="7"/>
    <m/>
    <x v="29"/>
    <s v="Luz Andrea Sepúlveda"/>
    <x v="0"/>
    <s v="Virtual"/>
    <m/>
    <m/>
    <d v="2025-05-12T00:00:00"/>
    <m/>
    <m/>
    <m/>
    <m/>
    <m/>
    <m/>
    <m/>
    <m/>
  </r>
  <r>
    <s v="Facultad_Ciencias_Ingenierías"/>
    <x v="7"/>
    <m/>
    <x v="30"/>
    <s v="Luz Andrea Sepúlveda"/>
    <x v="0"/>
    <s v="Virtual"/>
    <m/>
    <m/>
    <d v="2025-05-12T00:00:00"/>
    <m/>
    <m/>
    <s v="Si"/>
    <m/>
    <m/>
    <m/>
    <m/>
    <m/>
  </r>
  <r>
    <s v="Facultad_Ciencias_Ingenierías"/>
    <x v="7"/>
    <m/>
    <x v="31"/>
    <s v="Luz Andrea Sepúlveda"/>
    <x v="0"/>
    <s v="Virtual"/>
    <m/>
    <m/>
    <d v="2025-05-12T00:00:00"/>
    <m/>
    <m/>
    <s v="Si"/>
    <m/>
    <m/>
    <m/>
    <m/>
    <m/>
  </r>
  <r>
    <s v="Facultad_Ciencias_Sociales_Humanas"/>
    <x v="6"/>
    <m/>
    <x v="32"/>
    <s v="Luz Andrea Sepúlveda"/>
    <x v="0"/>
    <s v="Virtual"/>
    <s v="Yenny Andrea Gutiérrez Toro"/>
    <s v="Experiencias de aprendizaje situado que favorecen el desarrollo del pensamiento lógico – etnomatemático "/>
    <d v="2025-05-13T00:00:00"/>
    <m/>
    <m/>
    <m/>
    <m/>
    <m/>
    <m/>
    <m/>
    <m/>
  </r>
  <r>
    <s v="Facultad_Ciencias_Contables_Económicas_Administrativas"/>
    <x v="8"/>
    <m/>
    <x v="33"/>
    <s v="Luz Andrea Sepúlveda"/>
    <x v="0"/>
    <s v="Virtual"/>
    <m/>
    <m/>
    <d v="2025-05-15T00:00:00"/>
    <m/>
    <m/>
    <m/>
    <m/>
    <m/>
    <m/>
    <m/>
    <m/>
  </r>
  <r>
    <s v="Facultad_Ciencias_Jurídicas"/>
    <x v="9"/>
    <m/>
    <x v="34"/>
    <s v="Harold Estiven García"/>
    <x v="0"/>
    <s v="Virtual"/>
    <m/>
    <s v="Cambio jurídico de paradigma en los Contratos Legales Inteligentes a partir de la teoría de los sistemas y de la voluntad privada."/>
    <d v="2025-05-14T00:00:00"/>
    <m/>
    <m/>
    <m/>
    <m/>
    <m/>
    <m/>
    <m/>
    <m/>
  </r>
  <r>
    <s v="Facultad_Ciencias_Jurídicas"/>
    <x v="9"/>
    <m/>
    <x v="34"/>
    <s v="Harold Estiven García"/>
    <x v="0"/>
    <s v="Virtual"/>
    <m/>
    <s v="Cambio jurídico de paradigma en los Contratos Legales Inteligentes a partir de la teoría de los sistemas y de la voluntad privada."/>
    <d v="2025-05-07T00:00:00"/>
    <m/>
    <m/>
    <m/>
    <m/>
    <m/>
    <m/>
    <m/>
    <m/>
  </r>
  <r>
    <s v="Facultad_Ciencias_Jurídicas"/>
    <x v="9"/>
    <m/>
    <x v="34"/>
    <s v="Harold Estiven García"/>
    <x v="0"/>
    <s v="Virtual"/>
    <m/>
    <s v="Cambio jurídico de paradigma en los Contratos Legales Inteligentes a partir de la teoría de los sistemas y de la voluntad privada."/>
    <d v="2025-05-05T00:00:00"/>
    <m/>
    <m/>
    <m/>
    <m/>
    <m/>
    <m/>
    <m/>
    <m/>
  </r>
  <r>
    <s v="Facultad_Ciencias_Contables_Económicas_Administrativas"/>
    <x v="10"/>
    <m/>
    <x v="35"/>
    <s v="Harold Estiven García"/>
    <x v="0"/>
    <s v="Virtual"/>
    <s v="Henry Reyes Pineda"/>
    <s v="Análisis de la calidad del agua para uso agrícola y fortalecimiento del rol social e institucional en la Quebrada El Pescador (Hobo, Huila) "/>
    <d v="2025-05-23T00:00:00"/>
    <m/>
    <s v="Harold Estiven García"/>
    <s v="No"/>
    <m/>
    <s v="Falta agregar el título a la autorización"/>
    <m/>
    <m/>
    <m/>
  </r>
  <r>
    <s v="Facultad_Ciencias_Sociales_Humanas"/>
    <x v="0"/>
    <n v="1130621528"/>
    <x v="1"/>
    <s v="Juan Pablo Charry"/>
    <x v="0"/>
    <s v="Virtual"/>
    <s v="Jaime Alberto Restrepo Soto"/>
    <s v="Desesencializar las niñeces y las identidades: historia de vida de una joven trans"/>
    <d v="2025-05-26T00:00:00"/>
    <m/>
    <s v="Luz Andrea Sepúlveda"/>
    <s v="Si"/>
    <m/>
    <m/>
    <m/>
    <m/>
    <m/>
  </r>
  <r>
    <s v="Facultad_Ciencias_Ingenierías"/>
    <x v="7"/>
    <m/>
    <x v="36"/>
    <s v="Juan Pablo Charry"/>
    <x v="0"/>
    <s v="Virtual"/>
    <s v="Betancourth Ossa  María Camila"/>
    <s v="Desarrollo de un sistema de información geográfica para optimizar análisis espaciales en la secretaría de planeación de San Martín, Meta"/>
    <d v="2025-05-26T00:00:00"/>
    <m/>
    <s v="Luz Andrea Sepúlveda"/>
    <m/>
    <m/>
    <s v="Ajustar bibliográfia y espacios en el documento principal, cédulas en la autorización"/>
    <m/>
    <m/>
    <m/>
  </r>
  <r>
    <s v="Facultad_Ciencias_Ingenierías"/>
    <x v="7"/>
    <m/>
    <x v="37"/>
    <s v="Juan Pablo Charry"/>
    <x v="2"/>
    <s v="Virtual"/>
    <s v="Betancourth Ossa  María Camila"/>
    <s v="Desarrollo de un sistema de información geográfica para optimizar análisis espaciales en la secretaria de planeación de San Martin, Meta”"/>
    <d v="2025-05-26T00:00:00"/>
    <m/>
    <s v="Luz Andrea Sepúlveda"/>
    <m/>
    <m/>
    <s v="Ajustar bibliográfia y espacios en el documento principal, cédulas en la autorización"/>
    <m/>
    <m/>
    <m/>
  </r>
  <r>
    <s v="Facultad_Ciencias_Ingenierías"/>
    <x v="7"/>
    <n v="1061723812"/>
    <x v="38"/>
    <m/>
    <x v="0"/>
    <s v="Presencial"/>
    <s v="María Camila Betancourth Ossa"/>
    <s v="“Análisis de Fragmentación del Bosque Húmedo Tropical en el Parque Nacional Natural Munchique, Cauca."/>
    <d v="2025-05-26T00:00:00"/>
    <s v="Wilman Tangarife"/>
    <s v="Harold Estiven García"/>
    <s v="Si"/>
    <m/>
    <s v="Título: subtítulo: Falta en la autorización"/>
    <m/>
    <m/>
    <m/>
  </r>
  <r>
    <s v="Facultad_Ciencias_Ingenierías"/>
    <x v="7"/>
    <n v="1123301215"/>
    <x v="39"/>
    <m/>
    <x v="0"/>
    <s v="Presencial"/>
    <s v="María Camila Betancourth Ossa"/>
    <s v="“Análisis de Fragmentación del Bosque Húmedo Tropical en el Parque Nacional Natural Munchique, Cauca."/>
    <d v="2025-05-26T00:00:00"/>
    <s v="Wilman Tangarife"/>
    <s v="Harold Estiven García"/>
    <s v="Si"/>
    <m/>
    <s v="Título: subtítulo: Falta en la autorización"/>
    <m/>
    <m/>
    <m/>
  </r>
  <r>
    <s v="Facultad_Ciencias_Ingenierías"/>
    <x v="7"/>
    <n v="30400311"/>
    <x v="40"/>
    <m/>
    <x v="0"/>
    <s v="Presencial"/>
    <s v="María Camila Betancourth Ossa"/>
    <s v="“Análisis de Fragmentación del Bosque Húmedo Tropical en el Parque Nacional Natural Munchique, Cauca."/>
    <d v="2025-05-26T00:00:00"/>
    <s v="Wilman Tangarife"/>
    <s v="Harold Estiven García"/>
    <s v="Si"/>
    <m/>
    <s v="Título: subtítulo: Falta en la autorización"/>
    <m/>
    <m/>
    <m/>
  </r>
  <r>
    <s v="Facultad_Ciencias_Ingenierías"/>
    <x v="7"/>
    <n v="76281994"/>
    <x v="41"/>
    <m/>
    <x v="0"/>
    <s v="Presencial"/>
    <s v="María Camila Betancourth Ossa"/>
    <s v="“Análisis de Fragmentación del Bosque Húmedo Tropical en el Parque Nacional Natural Munchique, Cauca."/>
    <d v="2025-05-26T00:00:00"/>
    <s v="Wilman Tangarife"/>
    <s v="Harold Estiven García"/>
    <s v="Si"/>
    <m/>
    <s v="Título: subtítulo: Falta en la autorización"/>
    <m/>
    <m/>
    <m/>
  </r>
  <r>
    <s v="Facultad_Ciencias_Contables_Económicas_Administrativas"/>
    <x v="1"/>
    <m/>
    <x v="42"/>
    <m/>
    <x v="2"/>
    <m/>
    <s v="Rubiela Jiménez Aguirre,  Luis Fernando Gómez Montoya"/>
    <s v="Abuso Tributario en Colombia: Análisis, Aplicación y Responsabilidad Penal"/>
    <d v="2025-05-27T00:00:00"/>
    <m/>
    <s v="Maria Eugenia Nieto"/>
    <s v="Si"/>
    <m/>
    <m/>
    <m/>
    <m/>
    <m/>
  </r>
  <r>
    <s v="Facultad_Ciencias_Contables_Económicas_Administrativas"/>
    <x v="1"/>
    <m/>
    <x v="43"/>
    <m/>
    <x v="2"/>
    <m/>
    <s v="Rubiela Jiménez Aguirre,  Luis Fernando Gómez Montoya"/>
    <s v="Abuso Tributario en Colombia: Análisis, Aplicación y Responsabilidad Penal"/>
    <d v="2025-05-27T00:00:00"/>
    <m/>
    <s v="Maria Eugenia Nieto"/>
    <s v="Si"/>
    <m/>
    <m/>
    <m/>
    <m/>
    <m/>
  </r>
  <r>
    <s v="Facultad_Ciencias_Ingenierías"/>
    <x v="11"/>
    <n v="1002654894"/>
    <x v="44"/>
    <m/>
    <x v="2"/>
    <m/>
    <s v="Viviana Cardona Posada"/>
    <s v="Implementación de un asistente virtual para la evaluación docente en la Universidad de Manizales basado en Microsoft Azure y procesamiento de PDF"/>
    <d v="2025-05-27T00:00:00"/>
    <s v="Álvaro Agudelo"/>
    <s v="Luz Andrea Sepúlveda"/>
    <s v="Si"/>
    <m/>
    <m/>
    <m/>
    <m/>
    <m/>
  </r>
  <r>
    <s v="Facultad_Ciencias_Ingenierías"/>
    <x v="11"/>
    <n v="1002619297"/>
    <x v="45"/>
    <m/>
    <x v="2"/>
    <m/>
    <s v="Viviana Cardona Posada"/>
    <s v="Implementación de un asistente virtual para la evaluación docente en la Universidad de Manizales basado en Microsoft Azure y procesamiento de PDF"/>
    <d v="2025-05-27T00:00:00"/>
    <s v="Álvaro Agudelo"/>
    <s v="Luz Andrea Sepúlveda"/>
    <s v="Si"/>
    <m/>
    <m/>
    <m/>
    <m/>
    <m/>
  </r>
  <r>
    <s v="Facultad_Ciencias_Ingenierías"/>
    <x v="11"/>
    <n v="1053848609"/>
    <x v="46"/>
    <m/>
    <x v="2"/>
    <m/>
    <s v="Viviana Cardona Posada"/>
    <s v="Implementación de un asistente virtual para la evaluación docente en la Universidad de Manizales basado en Microsoft Azure y procesamiento de PDF"/>
    <d v="2025-05-27T00:00:00"/>
    <s v="Álvaro Agudelo"/>
    <s v="Luz Andrea Sepúlveda"/>
    <s v="Si"/>
    <m/>
    <m/>
    <m/>
    <m/>
    <m/>
  </r>
  <r>
    <s v="Facultad_Ciencias_Ingenierías"/>
    <x v="7"/>
    <n v="1007424188"/>
    <x v="47"/>
    <m/>
    <x v="2"/>
    <m/>
    <s v="Valbuena Gaona Martha Patricia"/>
    <s v="Implementación de inteligencia artificial para la actualización de zonas homogéneas físicas rurales en el Municipio de Monguí, Boyacá"/>
    <d v="2025-05-27T00:00:00"/>
    <m/>
    <s v="Luz Andrea Sepúlveda"/>
    <s v="Si"/>
    <m/>
    <s v="Se debe organizar una cita en la página 23, nombrar archivos"/>
    <m/>
    <m/>
    <m/>
  </r>
  <r>
    <s v="Facultad_Ciencias_Ingenierías"/>
    <x v="7"/>
    <n v="1031179320"/>
    <x v="48"/>
    <m/>
    <x v="2"/>
    <m/>
    <s v="Valbuena Gaona Martha Patricia"/>
    <s v="Implementación de inteligencia artificial para la actualización de zonas homogéneas físicas rurales en el Municipio de Monguí, Boyacá"/>
    <d v="2025-05-27T00:00:00"/>
    <m/>
    <s v="Luz Andrea Sepúlveda"/>
    <s v="Si"/>
    <m/>
    <s v="Se debe organizar una cita en la página 23, nombrar archivos"/>
    <m/>
    <m/>
    <m/>
  </r>
  <r>
    <s v="Facultad_Ciencias_Ingenierías"/>
    <x v="7"/>
    <n v="1026300170"/>
    <x v="49"/>
    <m/>
    <x v="2"/>
    <m/>
    <s v="Valbuena Gaona Martha Patricia"/>
    <s v="Implementación de inteligencia artificial para la actualización de zonas homogéneas físicas rurales en el Municipio de Monguí, Boyacá"/>
    <d v="2025-05-27T00:00:00"/>
    <m/>
    <s v="Luz Andrea Sepúlveda"/>
    <s v="Si"/>
    <m/>
    <s v="Se debe organizar una cita en la página 23, nombrar archivos"/>
    <m/>
    <m/>
    <m/>
  </r>
  <r>
    <s v="Facultad_Ciencias_Ingenierías"/>
    <x v="7"/>
    <n v="1014228680"/>
    <x v="50"/>
    <m/>
    <x v="2"/>
    <m/>
    <s v="Valbuena Gaona Martha Patricia"/>
    <s v="Implementación de inteligencia artificial para la actualización de zonas homogéneas físicas rurales en el Municipio de Monguí, Boyacá"/>
    <d v="2025-05-27T00:00:00"/>
    <m/>
    <s v="Luz Andrea Sepúlveda"/>
    <s v="Si"/>
    <m/>
    <s v="Se debe organizar una cita en la página 23, nombrar archivos"/>
    <m/>
    <m/>
    <m/>
  </r>
  <r>
    <s v="Facultad_Ciencias_Contables_Económicas_Administrativas"/>
    <x v="8"/>
    <n v="75073612"/>
    <x v="51"/>
    <m/>
    <x v="2"/>
    <m/>
    <s v="Barahona Vinasco José Fernando"/>
    <s v="Relación entre la gestión comercial, el marketing y la rentabilidad en pequeños porcicultores del Eje Cafetero de Colombia"/>
    <d v="2025-05-27T00:00:00"/>
    <s v="Álvaro Agudelo"/>
    <s v="Maria Eugenia Nieto"/>
    <s v="Si"/>
    <m/>
    <m/>
    <m/>
    <m/>
    <m/>
  </r>
  <r>
    <s v="Facultad_Ciencias_Sociales_Humanas"/>
    <x v="12"/>
    <n v="79731366"/>
    <x v="52"/>
    <m/>
    <x v="2"/>
    <m/>
    <s v="Carmona Parra Jaime Alberto"/>
    <s v="Jóvenes, política y religión. Habitus y posicionamientos políticos de jóvenes vinculados a iglesias underground. La comunidad Cristiana Metalera Pantokrator"/>
    <d v="2025-05-27T00:00:00"/>
    <s v="Álvaro Agudelo"/>
    <m/>
    <m/>
    <m/>
    <s v="Subio la plantilla del trabajo en letra muy pequeña Y no tiene la fecha de embargo / https://ridum.umanizales.edu.co/handle/20.500.12746/7418 "/>
    <m/>
    <m/>
    <m/>
  </r>
  <r>
    <s v="Facultad_Ciencias_Ingenierías"/>
    <x v="7"/>
    <n v="98137980"/>
    <x v="53"/>
    <m/>
    <x v="2"/>
    <m/>
    <s v="Maria Camila Betancourth Ossa"/>
    <s v="Diseño e implementación de un SIG para optimizar y esquematizar la operación del Sistema de Alumbrado Público de Pasto SEPAL S.A."/>
    <d v="2025-05-27T00:00:00"/>
    <m/>
    <s v="Luz Andrea Sepúlveda"/>
    <s v="Si"/>
    <m/>
    <s v="Solicita Reingreso Junio 6/2025 AlvaroA."/>
    <m/>
    <m/>
    <m/>
  </r>
  <r>
    <s v="Facultad_Ciencias_Ingenierías"/>
    <x v="7"/>
    <n v="1233190403"/>
    <x v="54"/>
    <m/>
    <x v="2"/>
    <m/>
    <s v="Maria Camila Betancourth Ossa"/>
    <s v="Diseño e implementación de un SIG para optimizar y esquematizar la operación del Sistema de Alumbrado Público de Pasto SEPAL S.A."/>
    <d v="2025-05-27T00:00:00"/>
    <s v="Wilman Tangarife"/>
    <s v="Luz Andrea Sepúlveda"/>
    <s v="Si"/>
    <m/>
    <m/>
    <m/>
    <m/>
    <m/>
  </r>
  <r>
    <s v="Facultad_Ciencias_Ingenierías"/>
    <x v="7"/>
    <n v="1053813113"/>
    <x v="55"/>
    <m/>
    <x v="2"/>
    <m/>
    <s v="Ana Maria Giraldo Patiño"/>
    <s v="Evaluación de la vulnerabilidad generada por el turismo en el páramo del Valle de los frailejones mediante el uso de SIG en el Municipio de Villamaría, Caldas"/>
    <d v="2025-05-27T00:00:00"/>
    <s v="Álvaro Agudelo"/>
    <s v="Luz Andrea Sepúlveda"/>
    <s v="Sí"/>
    <m/>
    <m/>
    <m/>
    <m/>
    <m/>
  </r>
  <r>
    <s v="Facultad de Ciencias Contables, Económicas y Administrativas"/>
    <x v="13"/>
    <n v="41927677"/>
    <x v="56"/>
    <m/>
    <x v="2"/>
    <m/>
    <s v="Luis Fernando Gómez Montoya"/>
    <s v="Estrategias Tributarias para Incentivar la Formalización Empresarial y Laboral en Colombia"/>
    <d v="2025-05-28T00:00:00"/>
    <m/>
    <s v="Maria Eugenia Nieto"/>
    <s v="Si"/>
    <m/>
    <m/>
    <m/>
    <m/>
    <m/>
  </r>
  <r>
    <s v="Facultad de Ciencias Contables, Económicas y Administrativas"/>
    <x v="13"/>
    <n v="1093227979"/>
    <x v="57"/>
    <m/>
    <x v="2"/>
    <m/>
    <s v="Rubiela Jiménez Aguirre"/>
    <s v="Estrategias Tributarias para Incentivar la Formalización Empresarial y Laboral en Colombia"/>
    <d v="2025-05-28T00:00:00"/>
    <m/>
    <s v="Maria Eugenia Nieto"/>
    <s v="Si"/>
    <m/>
    <m/>
    <m/>
    <m/>
    <m/>
  </r>
  <r>
    <s v="Facultad de Ciencias Contables, Económicas y Administrativas"/>
    <x v="8"/>
    <n v="1117505098"/>
    <x v="58"/>
    <m/>
    <x v="2"/>
    <m/>
    <s v="José Fernando Barahona Vinasco"/>
    <s v="Percepciones y expectativas que se tienen del mercadeo como disciplina y como profesión en Florencia, Caquetá"/>
    <d v="2025-05-28T00:00:00"/>
    <m/>
    <s v="Maria Eugenia Nieto"/>
    <s v="Si"/>
    <m/>
    <m/>
    <m/>
    <m/>
    <m/>
  </r>
  <r>
    <s v="Facultad de Ciencias Contables, Económicas y Administrativas"/>
    <x v="14"/>
    <n v="1016058775"/>
    <x v="59"/>
    <s v="Luz Andrea Sepúlveda"/>
    <x v="2"/>
    <m/>
    <s v="Ofelia Palencia Fajardo"/>
    <s v="Determinantes de la Sostenibilidad Artesanal: Perspectivas Productivas, Comerciales y Culturales en el Sur del Huila"/>
    <d v="2025-05-28T00:00:00"/>
    <m/>
    <s v="Maria Eugenia Nieto"/>
    <s v="Si"/>
    <m/>
    <m/>
    <m/>
    <m/>
    <m/>
  </r>
  <r>
    <s v="Facultad_Ciencias_Ingenierías"/>
    <x v="11"/>
    <m/>
    <x v="60"/>
    <m/>
    <x v="2"/>
    <m/>
    <s v="María Piedad Marín Gutierrez"/>
    <s v="Determinantes Claves Para Incrementar el Consumo de Proteína de Pollo"/>
    <d v="2025-05-28T00:00:00"/>
    <m/>
    <s v="Maria Eugenia Nieto"/>
    <s v="No"/>
    <m/>
    <s v="Formato de autorización sin firma. Falta numerar todos los capítulos (solo enumero las recomendaciones)"/>
    <m/>
    <m/>
    <m/>
  </r>
  <r>
    <s v="Facultad_Ciencias_Ingenierías"/>
    <x v="15"/>
    <m/>
    <x v="61"/>
    <m/>
    <x v="2"/>
    <m/>
    <s v="Viviana Cardona Posada"/>
    <s v="Implementación de Inteligencia Artificial y Automatización de los procesos administrativos en la Facultad de Ciencia e Ingeniería, Universidad de Manizales "/>
    <d v="2025-05-28T00:00:00"/>
    <m/>
    <s v="Harold Estiven García"/>
    <s v="Si"/>
    <m/>
    <m/>
    <m/>
    <m/>
    <m/>
  </r>
  <r>
    <s v="Facultad_Ciencias_Ingenierías"/>
    <x v="11"/>
    <m/>
    <x v="62"/>
    <m/>
    <x v="2"/>
    <m/>
    <s v="Viviana Cardona Posada"/>
    <s v="Implementación de Inteligencia Artificial y Automatización de los procesos administrativos en la Facultad de Ciencia e Ingeniería, Universidad de Manizales "/>
    <d v="2025-05-28T00:00:00"/>
    <m/>
    <s v="Harold Estiven García"/>
    <s v="Si"/>
    <m/>
    <m/>
    <m/>
    <m/>
    <m/>
  </r>
  <r>
    <s v="Facultad_Ciencias_Ingenierías"/>
    <x v="11"/>
    <m/>
    <x v="63"/>
    <m/>
    <x v="2"/>
    <m/>
    <s v="Viviana Cardona Posada"/>
    <s v="Implementación de Inteligencia Artificial y Automatización de los procesos administrativos en la Facultad de Ciencia e Ingeniería, Universidad de Manizales "/>
    <d v="2025-05-28T00:00:00"/>
    <m/>
    <s v="Harold Estiven García"/>
    <s v="Si"/>
    <m/>
    <m/>
    <m/>
    <m/>
    <m/>
  </r>
  <r>
    <s v="Facultad de Ciencias Contables, Económicas y Administrativas"/>
    <x v="1"/>
    <m/>
    <x v="64"/>
    <m/>
    <x v="2"/>
    <m/>
    <s v="Héctor Darío Betancur"/>
    <s v="incidencias en la conformidad constitucional por la aplicación del principio de reserva de ley en la creación de tributos a través de los planes nacionales de desarrollo en Colombia."/>
    <d v="2024-05-28T00:00:00"/>
    <m/>
    <s v="Maria Eugenia Nieto"/>
    <s v="No"/>
    <m/>
    <s v="Falta el formato de autorización de publicación en el Repositorio. No utilizo la plantilla para entrega de trabajos de grado"/>
    <m/>
    <m/>
    <m/>
  </r>
  <r>
    <s v="Facultad de Ciencias Contables, Económicas y Administrativas"/>
    <x v="1"/>
    <m/>
    <x v="65"/>
    <m/>
    <x v="2"/>
    <m/>
    <s v="Héctor Darío Betancur"/>
    <s v="incidencias en la conformidad constitucional por la aplicación del principio de reserva de ley en la creación de tributos a través de los planes nacionales de desarrollo en Colombia."/>
    <d v="2025-05-28T00:00:00"/>
    <m/>
    <s v="Maria Eugenia Nieto"/>
    <s v="No"/>
    <m/>
    <s v="Falta el formato de autorización de publicación en el Repositorio. No utilizo la plantilla para entrega de trabajos de grado"/>
    <m/>
    <m/>
    <m/>
  </r>
  <r>
    <s v="Facultad de Ciencias Contables, Económicas y Administrativas"/>
    <x v="1"/>
    <n v="1076986918"/>
    <x v="66"/>
    <m/>
    <x v="2"/>
    <m/>
    <s v="Julián Andrés Gómez Sánchez"/>
    <s v="“Análisis del perfil sociodemográfico y cultura tributaria en la comuna 2 de la ciudad de Neiva. Colombia”"/>
    <d v="2025-05-28T00:00:00"/>
    <m/>
    <s v="Maria Eugenia Nieto"/>
    <s v="No"/>
    <m/>
    <s v="Falta el formato de autorización de publicación en el Repositorio. No utilizo la plantilla para entrega de Articulos"/>
    <m/>
    <m/>
    <m/>
  </r>
  <r>
    <s v="Facultad de Ciencias Contables, Económicas y Administrativas"/>
    <x v="1"/>
    <n v="24852847"/>
    <x v="67"/>
    <m/>
    <x v="2"/>
    <m/>
    <s v="Jairo Serna Restrepo"/>
    <s v="&quot;Residencia fiscal en Colombia y el efecto de los convenios para evitar la doble tributación en nómada digitales&quot;"/>
    <d v="2025-05-28T00:00:00"/>
    <m/>
    <s v="Maria Eugenia Nieto"/>
    <s v="No"/>
    <m/>
    <s v="Falta el formato de autorización de publicación en el Repositorio. No utilizo la plantilla para entrega de trabajos de grado"/>
    <m/>
    <m/>
    <m/>
  </r>
  <r>
    <s v="Facultad de Ciencias Contables, Económicas y Administrativas"/>
    <x v="1"/>
    <n v="16774477"/>
    <x v="68"/>
    <m/>
    <x v="2"/>
    <m/>
    <s v="Jairo Serna Restrepo"/>
    <s v="&quot;Residencia fiscal en Colombia y el efecto de los convenios para evitar la doble tributación en nómada digitales&quot;"/>
    <d v="2025-05-28T00:00:00"/>
    <m/>
    <s v="Maria Eugenia Nieto"/>
    <s v="No"/>
    <m/>
    <s v="Falta el formato de autorización de publicación en el Repositorio. No utilizo la plantilla para entrega de trabajos de grado"/>
    <m/>
    <m/>
    <m/>
  </r>
  <r>
    <s v="Facultad de Ciencias Contables, Económicas y Administrativas"/>
    <x v="16"/>
    <n v="1053819273"/>
    <x v="69"/>
    <m/>
    <x v="2"/>
    <m/>
    <s v="Irma Soto Vallejo"/>
    <s v="“Condiciones de las Brechas del Capital Humano en el turismo sostenible del Eje Cafetero”"/>
    <d v="2025-05-28T00:00:00"/>
    <m/>
    <s v="Maria Eugenia Nieto"/>
    <s v="No"/>
    <m/>
    <s v="Falta el formato de autorización de publicación en el Repositorio. No utilizo la plantilla para entrega de Articulos"/>
    <m/>
    <m/>
    <m/>
  </r>
  <r>
    <s v="Facultad_Ciencias_Sociales_Humanas"/>
    <x v="12"/>
    <n v="65757226"/>
    <x v="70"/>
    <s v="Marcela Cerón"/>
    <x v="1"/>
    <s v="Virtual"/>
    <s v="Andrés Klaus Runge"/>
    <s v="Los sentidos que otorga un grupo de niños, niñas adolescentes a las aceras de Ibagué "/>
    <d v="2025-05-28T00:00:00"/>
    <m/>
    <m/>
    <m/>
    <m/>
    <m/>
    <m/>
    <m/>
    <m/>
  </r>
  <r>
    <s v="Facultad de Ciencias Contables, Económicas y Administrativas"/>
    <x v="16"/>
    <n v="36311924"/>
    <x v="71"/>
    <m/>
    <x v="2"/>
    <m/>
    <s v="Ofelia Palencia Fajardo"/>
    <s v="Turismo patrimonial como estrategia de desarrollo local: un análisis socioeconómico de su incidencia en el municipio de San Agustín (Colombia)"/>
    <d v="2025-05-28T00:00:00"/>
    <m/>
    <s v="Maria Eugenia Nieto"/>
    <s v="Si"/>
    <m/>
    <m/>
    <m/>
    <m/>
    <m/>
  </r>
  <r>
    <s v="Facultad de Ciencias Contables, Económicas y Administrativas"/>
    <x v="5"/>
    <m/>
    <x v="72"/>
    <m/>
    <x v="2"/>
    <m/>
    <s v="Carlos Andrés Osorio Toro"/>
    <s v="&quot;Análisis de las diferencias en las prácticas organizacionales relacionadas con el mercadeo antes y después de pandemia en las empresas colombianas que implementaron procesos de transformación digital como herramienta estratégica&quot;."/>
    <d v="2025-05-28T00:00:00"/>
    <m/>
    <s v="Maria Eugenia Nieto"/>
    <s v="Si"/>
    <m/>
    <s v="Tiene paz y salvo desde marzo (OK PYS APROB.MAR/06/2025.AAL)"/>
    <m/>
    <m/>
    <m/>
  </r>
  <r>
    <s v="Facultad de Ciencias Contables, Económicas y Administrativas"/>
    <x v="17"/>
    <m/>
    <x v="73"/>
    <m/>
    <x v="2"/>
    <m/>
    <s v="Julian Andres Gomez Sanchez"/>
    <s v="Indicadores contables para la medicion del impacto ambiental en las empresas de turismo de Manizales"/>
    <d v="2025-05-28T00:00:00"/>
    <m/>
    <s v="Maria Eugenia Nieto"/>
    <s v="No"/>
    <m/>
    <s v="Falta el formato de autorización de publicación en el Repositorio. No utilizo la plantilla para entrega de trabajos de grado"/>
    <m/>
    <m/>
    <m/>
  </r>
  <r>
    <s v="Facultad de Ciencias Contables, Económicas y Administrativas"/>
    <x v="17"/>
    <m/>
    <x v="74"/>
    <m/>
    <x v="2"/>
    <m/>
    <s v="Julian Andres Gomez Sanchez"/>
    <s v="Indicadores contables para la medicion del impacto ambiental en las empresas de turismo de Manizales"/>
    <d v="2025-05-28T00:00:00"/>
    <m/>
    <s v="Maria Eugenia Nieto"/>
    <s v="No"/>
    <m/>
    <s v="Falta el formato de autorización de publicación en el Repositorio. No utilizo la plantilla para entrega de trabajos de grado"/>
    <m/>
    <m/>
    <m/>
  </r>
  <r>
    <s v="Facultad de Ciencias Contables, Económicas y Administrativas"/>
    <x v="17"/>
    <m/>
    <x v="75"/>
    <m/>
    <x v="2"/>
    <m/>
    <s v="Julian Andres Gomez Sanchez"/>
    <s v="Indicadores contables para la medicion del impacto ambiental en las empresas de turismo de Manizales"/>
    <d v="2025-05-28T00:00:00"/>
    <m/>
    <s v="Maria Eugenia Nieto"/>
    <s v="No"/>
    <m/>
    <s v="Falta el formato de autorización de publicación en el Repositorio. No utilizo la plantilla para entrega de trabajos de grado"/>
    <m/>
    <m/>
    <m/>
  </r>
  <r>
    <s v="Facultad de Ciencias Contables, Económicas y Administrativas"/>
    <x v="8"/>
    <m/>
    <x v="76"/>
    <m/>
    <x v="2"/>
    <m/>
    <s v="Marleny Cardona Acevedo"/>
    <s v="&quot;Emprendimientos Femeninos Sostenibles y Escalables en Subsector del Cacao en Manizales &quot;."/>
    <d v="2025-05-28T00:00:00"/>
    <m/>
    <s v="Maria Eugenia Nieto"/>
    <s v="No"/>
    <m/>
    <s v="Falta el formato de autorización de publicación en el Repositorio. No utilizo la plantilla para entrega de trabajos de grado"/>
    <m/>
    <m/>
    <m/>
  </r>
  <r>
    <s v="Facultad_Ciencias_Ingenierías"/>
    <x v="7"/>
    <n v="7179342"/>
    <x v="77"/>
    <m/>
    <x v="2"/>
    <s v="Virtual"/>
    <m/>
    <s v="Análisis hidrológico y fluvial del caño Picuño mediante SIG para mitigación de inundaciones en la vereda la Isla Guamal, Meta"/>
    <d v="2025-05-28T00:00:00"/>
    <s v="Wilman Tangarife"/>
    <s v="Luz Andrea Sepúlveda"/>
    <s v="Si"/>
    <m/>
    <m/>
    <m/>
    <m/>
    <m/>
  </r>
  <r>
    <s v="Facultad_Ciencias_Ingenierías"/>
    <x v="7"/>
    <n v="1121870920"/>
    <x v="78"/>
    <m/>
    <x v="2"/>
    <s v="Virtual"/>
    <m/>
    <s v="Análisis hidrológico y fluvial del caño Picuño mediante SIG para mitigación de inundaciones en la vereda la Isla Guamal, Meta"/>
    <d v="2025-05-28T00:00:00"/>
    <s v="Wilman Tangarife"/>
    <s v="Luz Andrea Sepúlveda"/>
    <s v="Si"/>
    <m/>
    <m/>
    <m/>
    <m/>
    <m/>
  </r>
  <r>
    <s v="Facultad_Ciencias_Ingenierías"/>
    <x v="7"/>
    <m/>
    <x v="79"/>
    <m/>
    <x v="2"/>
    <m/>
    <s v="Carlos Marcelo Jaramillo Echeverry"/>
    <s v="Modelación hidrogeológica tridimensional estática basada en unidades hidroestratigráficas con Leapfrog Geo en la subcuenca de Dosquebradas, Risaralda "/>
    <d v="2025-05-28T00:00:00"/>
    <m/>
    <s v="Harold Estiven García"/>
    <s v="Si"/>
    <m/>
    <m/>
    <m/>
    <m/>
    <m/>
  </r>
  <r>
    <s v="Facultad_Ciencias_Sociales_Humanas"/>
    <x v="18"/>
    <m/>
    <x v="80"/>
    <m/>
    <x v="2"/>
    <m/>
    <s v="Alejandro Londoño Valencia"/>
    <s v="Experiencia de aplicación de adaptación de un protocolo de Terapia Dialéctica Conductual en dos pacientes con Trastorno Límite de personalidad"/>
    <d v="2025-05-28T00:00:00"/>
    <m/>
    <s v="Harold Estiven García"/>
    <s v="Si"/>
    <m/>
    <m/>
    <m/>
    <m/>
    <m/>
  </r>
  <r>
    <s v="Facultad_Ciencias_Sociales_Humanas"/>
    <x v="19"/>
    <m/>
    <x v="81"/>
    <m/>
    <x v="2"/>
    <m/>
    <s v="Alejandro Londoño Valencia"/>
    <s v="Experiencia de aplicación de adaptación de un protocolo de Terapia Dialéctica Conductual en dos pacientes con Trastorno Límite de personalidad"/>
    <d v="2025-05-28T00:00:00"/>
    <m/>
    <s v="Harold Estiven García"/>
    <s v="Si"/>
    <m/>
    <m/>
    <m/>
    <m/>
    <m/>
  </r>
  <r>
    <s v="Facultad_Ciencias_Sociales_Humanas"/>
    <x v="19"/>
    <n v="1116274967"/>
    <x v="82"/>
    <m/>
    <x v="2"/>
    <m/>
    <s v="Alejandra Dalila Rico Molano "/>
    <s v="Modelo curricular asistido por inteligencia artifical generativa en el marco de la ciudadanía digital"/>
    <d v="2025-05-28T00:00:00"/>
    <m/>
    <s v="Juan Pablo Charry"/>
    <s v="Si"/>
    <m/>
    <m/>
    <m/>
    <m/>
    <m/>
  </r>
  <r>
    <s v="Facultad_Ciencias_Sociales_Humanas"/>
    <x v="20"/>
    <n v="1060356321"/>
    <x v="83"/>
    <m/>
    <x v="2"/>
    <s v="Virtual"/>
    <s v="WILMAN ANTONIO RODRÍGUEZ "/>
    <s v="FORMAR PARA LA CIUDADANÍA: DESARROLLO DE LAS COMPETENCIAS CIUDADANAS DESDE LA FILOSOFÍA PARA NIÑOS EN UN CONTEXTO RURAL. ESTUDIO DE CASO EN LA INSTITUCIÓN EDUCATIVA MARI LÓPEZ BELLAVISTA, EN EL MUNICIPIO DE SUAREZ - CAUCA "/>
    <d v="2025-05-28T00:00:00"/>
    <m/>
    <s v="Juan Pablo Charry"/>
    <s v="Si"/>
    <m/>
    <m/>
    <m/>
    <m/>
    <m/>
  </r>
  <r>
    <s v="Facultad_Ciencias_Ingenierías"/>
    <x v="11"/>
    <n v="1002654894"/>
    <x v="44"/>
    <m/>
    <x v="2"/>
    <m/>
    <s v="Viviana Cardona Posada"/>
    <s v="Implementación de un asistente virtual para la evaluación docente en la Universidad de Manizales basado en Microsoft Azure y procesamiento de PDF"/>
    <d v="2025-05-27T00:00:00"/>
    <m/>
    <s v="Harold Estiven García"/>
    <s v="Si"/>
    <m/>
    <s v="Revisado por Alvaro Agudelo"/>
    <m/>
    <m/>
    <m/>
  </r>
  <r>
    <s v="Facultad_Ciencias_Ingenierías"/>
    <x v="11"/>
    <n v="1002619297"/>
    <x v="45"/>
    <m/>
    <x v="2"/>
    <m/>
    <s v="Viviana Cardona Posada"/>
    <s v="Implementación de un asistente virtual para la evaluación docente en la Universidad de Manizales basado en Microsoft Azure y procesamiento de PDF"/>
    <d v="2025-05-27T00:00:00"/>
    <m/>
    <s v="Harold Estiven García"/>
    <s v="Si"/>
    <m/>
    <s v="Revisado por Alvaro Agudelo"/>
    <m/>
    <m/>
    <m/>
  </r>
  <r>
    <s v="Facultad_Ciencias_Ingenierías"/>
    <x v="11"/>
    <n v="1053848609"/>
    <x v="46"/>
    <m/>
    <x v="2"/>
    <m/>
    <s v="Viviana Cardona Posada"/>
    <s v="Implementación de un asistente virtual para la evaluación docente en la Universidad de Manizales basado en Microsoft Azure y procesamiento de PDF"/>
    <d v="2025-05-27T00:00:00"/>
    <m/>
    <s v="Harold Estiven García"/>
    <s v="Si"/>
    <m/>
    <s v="Revisado por Alvaro Agudelo"/>
    <m/>
    <m/>
    <m/>
  </r>
  <r>
    <s v="Facultad_Ciencias_Ingenierías"/>
    <x v="7"/>
    <m/>
    <x v="31"/>
    <m/>
    <x v="2"/>
    <m/>
    <m/>
    <s v="Análisis de susceptibilidad a movimientos de masa en la zona Arme de Chinchiná utilizando herramientas"/>
    <d v="2025-05-28T00:00:00"/>
    <s v="Wilman Tangarife"/>
    <s v="Luz Andrea Sepúlveda"/>
    <s v="Si"/>
    <m/>
    <s v="METADATOS CONFIDENCIALES ( NO DEBE QUEDAR LOS METADATOS PÚBLICOS)"/>
    <m/>
    <m/>
    <m/>
  </r>
  <r>
    <s v="Facultad_Ciencias_Ingenierías"/>
    <x v="7"/>
    <m/>
    <x v="84"/>
    <m/>
    <x v="2"/>
    <m/>
    <m/>
    <s v="Análisis de susceptibilidad a movimientos de masa en la zona Arme de Chinchiná utilizando herramientas"/>
    <d v="2025-05-28T00:00:00"/>
    <s v="Wilman Tangarife"/>
    <s v="Luz Andrea Sepúlveda"/>
    <s v="Si"/>
    <m/>
    <s v="METADATOS CONFIDENCIALES ( NO DEBE QUEDAR LOS METADATOS PÚBLICOS)"/>
    <m/>
    <m/>
    <m/>
  </r>
  <r>
    <s v="Facultad_Ciencias_Sociales_Humanas"/>
    <x v="12"/>
    <m/>
    <x v="85"/>
    <m/>
    <x v="2"/>
    <m/>
    <s v="Tutora: María Camila Ospina Alvarado _x000a_Cotutora: Martha Cecilia Lozano Ardila "/>
    <s v="Somos fuente orgánica del conjunto social. Despliegues de la subjetividad política en activistas presentes en redes sociales "/>
    <d v="2025-05-28T00:00:00"/>
    <m/>
    <s v="Juan Pablo Charry"/>
    <s v="No"/>
    <m/>
    <s v="Falta cargar tesis en word, formato de autorización, acta de sustentación "/>
    <m/>
    <m/>
    <m/>
  </r>
  <r>
    <s v="Facultad_Ciencias_Sociales_Humanas"/>
    <x v="0"/>
    <m/>
    <x v="4"/>
    <m/>
    <x v="2"/>
    <m/>
    <s v="Juan Bernardo Zuluaga Valencia"/>
    <s v="Función ejecutiva y teoría de la mente en niños con trastorno del espectro autista"/>
    <d v="2025-05-28T00:00:00"/>
    <m/>
    <s v="Juan Pablo Charry"/>
    <s v="No"/>
    <m/>
    <s v="Corregir algunos aspectos del formato APA"/>
    <m/>
    <m/>
    <m/>
  </r>
  <r>
    <s v="Facultad_Ciencias_Ingenierías"/>
    <x v="11"/>
    <n v="1053865213"/>
    <x v="86"/>
    <m/>
    <x v="2"/>
    <s v="Presencial"/>
    <s v="Viviana Cardona Posada "/>
    <m/>
    <d v="2025-05-28T00:00:00"/>
    <s v="Wilman Tangarife"/>
    <m/>
    <m/>
    <m/>
    <s v="Título: subtítulo:  Falta"/>
    <m/>
    <m/>
    <m/>
  </r>
  <r>
    <s v="Facultad_Ciencias_Contables_Económicas_Administrativas"/>
    <x v="21"/>
    <n v="1005570073"/>
    <x v="87"/>
    <s v="Luz Andrea Sepúlveda"/>
    <x v="2"/>
    <s v="Virtual"/>
    <s v="Juan Felipe Castellanos Martínez "/>
    <s v=" El rol del acceso a los servicios financieros y su influencia en el desarrollo económico "/>
    <d v="2025-05-28T00:00:00"/>
    <s v="Wilman Tangarife"/>
    <s v="Luz Andrea Sepúlveda"/>
    <s v="Si"/>
    <m/>
    <m/>
    <m/>
    <m/>
    <m/>
  </r>
  <r>
    <s v="Facultad_Ciencias_Sociales_Humanas"/>
    <x v="6"/>
    <n v="25480527"/>
    <x v="88"/>
    <m/>
    <x v="2"/>
    <s v="A Distancia "/>
    <s v=" YENNY ANDREA GUTIÉRREZ TORO "/>
    <s v="Experiencias de aprendizaje situado que favorecen el desarrollo del pensamiento lógico – etnomatemático "/>
    <d v="2025-05-28T00:00:00"/>
    <s v="Wilman Tangarife"/>
    <s v="Luz Andrea Sepúlveda"/>
    <s v="Si"/>
    <m/>
    <m/>
    <m/>
    <m/>
    <m/>
  </r>
  <r>
    <s v="Facultad_Ciencias_Sociales_Humanas"/>
    <x v="6"/>
    <n v="34328764"/>
    <x v="89"/>
    <m/>
    <x v="2"/>
    <s v="A Distancia "/>
    <s v=" YENNY ANDREA GUTIÉRREZ TORO "/>
    <s v="Experiencias de aprendizaje situado que favorecen el desarrollo del pensamiento lógico – etnomatemático "/>
    <d v="2025-05-28T00:00:00"/>
    <s v="Wilman Tangarife"/>
    <s v="Luz Andrea Sepúlveda"/>
    <s v="Si"/>
    <m/>
    <m/>
    <m/>
    <m/>
    <m/>
  </r>
  <r>
    <s v="Facultad_Ciencias_Sociales_Humanas"/>
    <x v="6"/>
    <n v="1061737473"/>
    <x v="90"/>
    <m/>
    <x v="2"/>
    <s v="A Distancia "/>
    <s v=" YENNY ANDREA GUTIÉRREZ TORO "/>
    <s v="Experiencias de aprendizaje situado que favorecen el desarrollo del pensamiento lógico – etnomatemático "/>
    <d v="2025-05-28T00:00:00"/>
    <s v="Wilman Tangarife"/>
    <s v="Luz Andrea Sepúlveda"/>
    <s v="Si"/>
    <m/>
    <m/>
    <m/>
    <m/>
    <m/>
  </r>
  <r>
    <s v="Facultad_Ciencias_Sociales_Humanas"/>
    <x v="12"/>
    <n v="79731366"/>
    <x v="91"/>
    <m/>
    <x v="2"/>
    <s v="Presencial"/>
    <s v="Jaime Alberto Carmona Parra"/>
    <s v="Jóvenes, política y religión. Habitus y posicionamientos políticos de jóvenes vinculados a iglesias underground. La comunidad Cristiana Metalera Pantokrator"/>
    <d v="2025-05-28T00:00:00"/>
    <m/>
    <s v="Juan Pablo Charry"/>
    <s v="Si"/>
    <m/>
    <m/>
    <m/>
    <m/>
    <m/>
  </r>
  <r>
    <s v="Facultad_Ciencias_Ingenierías"/>
    <x v="7"/>
    <n v="1052408139"/>
    <x v="92"/>
    <s v="Juan Pablo Charry"/>
    <x v="2"/>
    <m/>
    <s v="Ana María  Giraldo Patiño"/>
    <s v="Comparación de índices espectrales y cambios de cobertura pre y post incendio en octubre 2023, reserva “El Viche”, Tesalia-Huila."/>
    <d v="2025-05-28T00:00:00"/>
    <s v="Wilman Tangarife"/>
    <s v="Luz Andrea Sepúlveda"/>
    <s v="Si"/>
    <m/>
    <m/>
    <m/>
    <m/>
    <m/>
  </r>
  <r>
    <s v="Facultad_Ciencias_Ingenierías"/>
    <x v="7"/>
    <n v="1081395661"/>
    <x v="93"/>
    <s v="Juan Pablo Charry"/>
    <x v="2"/>
    <m/>
    <s v="Ana María  Giraldo Patiño"/>
    <s v="Comparación de índices espectrales y cambios de cobertura pre y post incendio en octubre 2023, reserva “El Viche”, Tesalia-Huila."/>
    <d v="2025-05-28T00:00:00"/>
    <s v="Wilman Tangarife"/>
    <s v="Luz Andrea Sepúlveda"/>
    <s v="Si"/>
    <m/>
    <m/>
    <m/>
    <m/>
    <m/>
  </r>
  <r>
    <s v="Facultad_Ciencias_Ingenierías"/>
    <x v="7"/>
    <n v="1053850322"/>
    <x v="94"/>
    <s v="Luz Andrea Sepúlveda"/>
    <x v="0"/>
    <s v="Virtual"/>
    <s v="Ana María  Giraldo Patiño"/>
    <s v="Análisis multitemporal de la cárcava del Alto Tablazo mediante el uso de imágenes satelitales en el municipio de Manizales, Caldas"/>
    <d v="2025-05-28T00:00:00"/>
    <s v="Wilman Tangarife"/>
    <s v="Luz Andrea Sepúlveda"/>
    <s v="Si"/>
    <m/>
    <m/>
    <m/>
    <m/>
    <m/>
  </r>
  <r>
    <s v="Facultad_Ciencias_Ingenierías"/>
    <x v="7"/>
    <n v="1087561999"/>
    <x v="95"/>
    <s v="Luz Andrea Sepúlveda"/>
    <x v="0"/>
    <s v="Virtual"/>
    <s v="Ana María  Giraldo Patiño"/>
    <s v="Análisis multitemporal de la cárcava del Alto Tablazo mediante el uso de imágenes satelitales en el municipio de Manizales, Caldas"/>
    <d v="2025-05-28T00:00:00"/>
    <s v="Wilman Tangarife"/>
    <s v="Luz Andrea Sepúlveda"/>
    <s v="Si"/>
    <m/>
    <m/>
    <m/>
    <m/>
    <m/>
  </r>
  <r>
    <s v="Facultad_Ciencias_Contables_Económicas_Administrativas"/>
    <x v="2"/>
    <n v="52430404"/>
    <x v="96"/>
    <m/>
    <x v="2"/>
    <m/>
    <s v="Diego Hernández García"/>
    <m/>
    <d v="2025-05-28T00:00:00"/>
    <s v="Wilman Tangarife"/>
    <m/>
    <m/>
    <m/>
    <s v="Falta Inicio embargo: Título: subtítulo: "/>
    <m/>
    <m/>
    <m/>
  </r>
  <r>
    <s v="Facultad_Ciencias_Contables_Económicas_Administrativas"/>
    <x v="10"/>
    <m/>
    <x v="97"/>
    <m/>
    <x v="2"/>
    <m/>
    <s v="Juan Carlos Granobles Torres"/>
    <s v="Contribución de la política de formalización minera en Colombia a la consolidación de los objetivos del desarrollo sostenible a partir del caso del proyecto de Mineros La María S.A.S. en San Roque Antioquia "/>
    <d v="2025-05-28T00:00:00"/>
    <s v="Wilman Tangarife"/>
    <s v="Harold Estiven García"/>
    <s v="Si"/>
    <m/>
    <m/>
    <m/>
    <m/>
    <m/>
  </r>
  <r>
    <s v="Facultad_Ciencias_Sociales_Humanas"/>
    <x v="6"/>
    <m/>
    <x v="98"/>
    <m/>
    <x v="2"/>
    <m/>
    <s v="Yenni Andrea Gutierrez Toro"/>
    <s v="ESTRATEGIAS METACOGNITIVAS PARA LA POTENCIACIÓN DE AULAS INCLUSIVAS "/>
    <d v="2025-05-29T00:00:00"/>
    <m/>
    <s v="Harold Estiven García"/>
    <s v="Si"/>
    <m/>
    <m/>
    <m/>
    <m/>
    <m/>
  </r>
  <r>
    <s v="Facultad_Ciencias_Sociales_Humanas"/>
    <x v="6"/>
    <m/>
    <x v="99"/>
    <m/>
    <x v="2"/>
    <m/>
    <s v="Yenni Andrea Gutierrez Toro"/>
    <s v="ESTRATEGIAS METACOGNITIVAS PARA LA POTENCIACIÓN DE AULAS INCLUSIVAS "/>
    <d v="2025-05-29T00:00:00"/>
    <m/>
    <s v="Harold Estiven García"/>
    <s v="Si"/>
    <m/>
    <m/>
    <m/>
    <m/>
    <m/>
  </r>
  <r>
    <s v="Facultad_Ciencias_Ingenierías"/>
    <x v="7"/>
    <m/>
    <x v="100"/>
    <s v="Juan Pablo Charry"/>
    <x v="2"/>
    <m/>
    <s v="María Camila Betancourth Ossa"/>
    <s v="Desarrollo de un sistema de información geográfica para optimizar análisis espaciales en la secretaría de planeación de San Martín, Meta"/>
    <d v="2025-05-29T00:00:00"/>
    <s v="Wilman Tangarife"/>
    <s v="Luz Andrea Sepúlveda"/>
    <s v="Si"/>
    <m/>
    <m/>
    <m/>
    <m/>
    <m/>
  </r>
  <r>
    <s v="Facultad_Ciencias_Ingenierías"/>
    <x v="7"/>
    <m/>
    <x v="101"/>
    <s v="Juan Pablo Charry"/>
    <x v="2"/>
    <m/>
    <s v="María Camila Betancourth Ossa"/>
    <s v="Desarrollo de un sistema de información geográfica para optimizar análisis espaciales en la secretaría de planeación de San Martín, Meta"/>
    <d v="2025-05-29T00:00:00"/>
    <s v="Wilman Tangarife"/>
    <s v="Luz Andrea Sepúlveda"/>
    <s v="Si"/>
    <m/>
    <m/>
    <m/>
    <m/>
    <m/>
  </r>
  <r>
    <s v="Facultad_Ciencias_Ingenierías"/>
    <x v="7"/>
    <m/>
    <x v="102"/>
    <m/>
    <x v="2"/>
    <m/>
    <s v="Vladimir Henao Céspedes"/>
    <s v="Imágenes satelitales SAR para la identificación de cambios en cuerpos de agua durante inundaciones costeras en la ciudad de Cartagena."/>
    <d v="2025-05-29T00:00:00"/>
    <m/>
    <s v="Harold Estiven García"/>
    <s v="Si"/>
    <m/>
    <m/>
    <m/>
    <m/>
    <m/>
  </r>
  <r>
    <s v="Facultad_Ciencias_Ingenierías"/>
    <x v="7"/>
    <m/>
    <x v="103"/>
    <m/>
    <x v="2"/>
    <m/>
    <s v="Vladimir Henao Céspedes"/>
    <s v="Imágenes satelitales SAR para la identificación de cambios en cuerpos de agua durante inundaciones costeras en la ciudad de Cartagena."/>
    <d v="2025-05-29T00:00:00"/>
    <m/>
    <s v="Harold Estiven García"/>
    <s v="Si"/>
    <m/>
    <m/>
    <m/>
    <m/>
    <m/>
  </r>
  <r>
    <s v="Facultad_Ciencias_Ingenierías"/>
    <x v="7"/>
    <m/>
    <x v="104"/>
    <m/>
    <x v="2"/>
    <m/>
    <s v="Vladimir Henao Céspedes"/>
    <s v="Imágenes satelitales SAR para la identificación de cambios en cuerpos de agua durante inundaciones costeras en la ciudad de Cartagena."/>
    <d v="2025-05-29T00:00:00"/>
    <m/>
    <s v="Harold Estiven García"/>
    <s v="Si"/>
    <m/>
    <m/>
    <m/>
    <m/>
    <m/>
  </r>
  <r>
    <s v="Facultad_Ciencias_Ingenierías"/>
    <x v="7"/>
    <m/>
    <x v="105"/>
    <m/>
    <x v="2"/>
    <m/>
    <s v="Alberto Boada Rodríguez"/>
    <s v="Análisis multitemporal 2019 - 2024 de la deforestación en el Distrito Regional de Manejo Integrado Complejo Cenagoso de La Zapatosa, caso de estudio: municipio de Chimichagua - Cesar"/>
    <d v="2025-05-29T00:00:00"/>
    <m/>
    <s v="Luz Andrea Sepúlveda"/>
    <s v="Si"/>
    <m/>
    <m/>
    <m/>
    <m/>
    <m/>
  </r>
  <r>
    <s v="Facultad_Ciencias_Contables_Económicas_Administrativas"/>
    <x v="1"/>
    <m/>
    <x v="106"/>
    <m/>
    <x v="2"/>
    <m/>
    <s v="GOMEZ SANCHES, JULIAN ANDRES"/>
    <s v="GUÍA ESENCIAL SOBRE EL BENEFICIO TRIBUTARIO Y EL RÉGIMEN SIMPLE DE TRIBUTACIÓN (R.S.T) EN COLOMBIA."/>
    <d v="2025-05-29T00:00:00"/>
    <m/>
    <s v="Maria Eugenia Nieto"/>
    <s v="Si"/>
    <m/>
    <s v="Ya se le habia entregado paz y salvo, sin embargo no entrego el formato de  Autorizacion de publicación en el Ridum (OK PYS APROB.MAR/07/2025.AAL)"/>
    <m/>
    <m/>
    <m/>
  </r>
  <r>
    <s v="Facultad_Ciencias_Contables_Económicas_Administrativas"/>
    <x v="2"/>
    <m/>
    <x v="107"/>
    <m/>
    <x v="2"/>
    <m/>
    <s v="Vargas Marín, Luis Alberto"/>
    <s v="Evaluación de la sostenibilidad del proyecto UFI 7.2 en el Golfo del Morrosquillo, Colombia: análisis de impactos y estratégias de mitigación"/>
    <d v="2025-05-29T00:00:00"/>
    <m/>
    <s v="Maria Eugenia Nieto"/>
    <s v="Si"/>
    <m/>
    <s v="Ya se había entregado paz y salvo (PLANTILLAS RIDUM OK. OK PYS APROB.MAYO/24/2025.AAL.)"/>
    <m/>
    <m/>
    <m/>
  </r>
  <r>
    <s v="Facultad_Ciencias_Contables_Económicas_Administrativas"/>
    <x v="1"/>
    <m/>
    <x v="108"/>
    <m/>
    <x v="2"/>
    <m/>
    <s v="Vargas Marín, Luis Alberto"/>
    <s v="Evaluación de la sostenibilidad del proyecto UFI 7.2 en el Golfo del Morrosquillo, Colombia: análisis de impactos y estratégias de mitigación"/>
    <d v="2025-05-29T00:00:00"/>
    <m/>
    <s v="Maria Eugenia Nieto"/>
    <s v="Si"/>
    <m/>
    <s v="Ya se le entregó paz y salvo (RIDUM OK.OK PYS APROB.FEB/26/2025.AAL.)"/>
    <m/>
    <m/>
    <m/>
  </r>
  <r>
    <s v="Facultad_Ciencias_Contables_Económicas_Administrativas"/>
    <x v="2"/>
    <n v="52430404"/>
    <x v="109"/>
    <m/>
    <x v="2"/>
    <m/>
    <s v="Edwin Manuel Páez Barón, , Diego Hernández García"/>
    <s v="Relación entre parámetros productivos y huellas ambientales en ganadería de leche en ecosistema alto andino"/>
    <d v="2025-05-29T00:00:00"/>
    <m/>
    <s v="Maria Eugenia Nieto"/>
    <s v="Si"/>
    <m/>
    <m/>
    <m/>
    <m/>
    <m/>
  </r>
  <r>
    <s v="Facultad_Ciencias_Contables_Económicas_Administrativas"/>
    <x v="2"/>
    <n v="1113664174"/>
    <x v="110"/>
    <m/>
    <x v="2"/>
    <m/>
    <s v="Pineda Murillo, Rogelio"/>
    <s v="El ordenamiento marino-costero en Colombia como apuesta al desarrollo sostenible. Estudio de caso del municipio de Tumaco-Nariño"/>
    <d v="2025-05-29T00:00:00"/>
    <m/>
    <s v="Maria Eugenia Nieto"/>
    <s v="Si"/>
    <m/>
    <m/>
    <m/>
    <m/>
    <m/>
  </r>
  <r>
    <s v="Facultad_Ciencias_Ingenierías"/>
    <x v="7"/>
    <n v="1118557352"/>
    <x v="111"/>
    <s v="Luz Andrea Sepúlveda"/>
    <x v="2"/>
    <m/>
    <s v="Hector Andres Mora Bedoya"/>
    <s v="Gemelo digital subestación eléctrica"/>
    <d v="2025-05-29T00:00:00"/>
    <m/>
    <s v="Luz Andrea Sepúlveda"/>
    <s v="Si"/>
    <m/>
    <m/>
    <m/>
    <m/>
    <m/>
  </r>
  <r>
    <s v="Facultad_Ciencias_Ingenierías"/>
    <x v="7"/>
    <n v="1143259357"/>
    <x v="112"/>
    <s v="Luz Andrea Sepúlveda"/>
    <x v="2"/>
    <m/>
    <s v="Hector Andres Mora Bedoya"/>
    <s v="Gemelo digital subestación eléctrica"/>
    <d v="2025-05-29T00:00:00"/>
    <m/>
    <s v="Luz Andrea Sepúlveda"/>
    <s v="Si"/>
    <m/>
    <m/>
    <m/>
    <m/>
    <m/>
  </r>
  <r>
    <s v="Facultad_Ciencias_Ingenierías"/>
    <x v="7"/>
    <n v="86048758"/>
    <x v="113"/>
    <s v="Luz Andrea Sepúlveda"/>
    <x v="2"/>
    <m/>
    <s v="Hector Andres Mora Bedoya"/>
    <s v="Gemelo digital subestación eléctrica"/>
    <d v="2025-05-29T00:00:00"/>
    <m/>
    <s v="Luz Andrea Sepúlveda"/>
    <s v="Si"/>
    <m/>
    <m/>
    <m/>
    <m/>
    <m/>
  </r>
  <r>
    <s v="Facultad_Ciencias_Ingenierías"/>
    <x v="7"/>
    <n v="1140837616"/>
    <x v="114"/>
    <s v="Luz Andrea Sepúlveda"/>
    <x v="2"/>
    <m/>
    <s v="Hector Andres Mora Bedoya"/>
    <s v="Gemelo digital subestación eléctrica"/>
    <d v="2025-05-29T00:00:00"/>
    <m/>
    <s v="Luz Andrea Sepúlveda"/>
    <s v="Si"/>
    <m/>
    <m/>
    <m/>
    <m/>
    <m/>
  </r>
  <r>
    <s v="Facultad_Ciencias_Ingenierías"/>
    <x v="7"/>
    <n v="1096951048"/>
    <x v="115"/>
    <s v="Luz Andrea Sepúlveda"/>
    <x v="2"/>
    <m/>
    <s v="Hector Andres Mora Bedoya"/>
    <s v="Gemelo digital subestación eléctrica"/>
    <d v="2025-05-29T00:00:00"/>
    <m/>
    <s v="Luz Andrea Sepúlveda"/>
    <s v="Si"/>
    <m/>
    <m/>
    <m/>
    <m/>
    <m/>
  </r>
  <r>
    <s v="Facultad_Ciencias_Sociales_Humanas"/>
    <x v="4"/>
    <n v="1038131819"/>
    <x v="116"/>
    <s v="Juan Pablo Charry"/>
    <x v="2"/>
    <s v="Virtual"/>
    <s v="Claudia Bionet Gómez Alzáte"/>
    <s v="Comunicación asertiva, empatía y resolución de conflictos para estudiantes virtuales de educación superior."/>
    <d v="2025-05-29T00:00:00"/>
    <m/>
    <s v="Juan Pablo Charry"/>
    <s v="Si"/>
    <m/>
    <m/>
    <m/>
    <m/>
    <m/>
  </r>
  <r>
    <s v="Facultad_Ciencias_Sociales_Humanas"/>
    <x v="4"/>
    <n v="1059810800"/>
    <x v="117"/>
    <s v="Juan Pablo Charry"/>
    <x v="2"/>
    <s v="Virtual"/>
    <s v="Claudia Bionet Gómez Alzáte"/>
    <s v="Comunicación asertiva, empatía y resolución de conflictos para estudiantes virtuales de educación superior."/>
    <d v="2025-05-29T00:00:00"/>
    <m/>
    <s v="Juan Pablo Charry"/>
    <s v="Si"/>
    <m/>
    <m/>
    <m/>
    <m/>
    <m/>
  </r>
  <r>
    <s v="Facultad_Ciencias_Sociales_Humanas"/>
    <x v="4"/>
    <n v="1059810800"/>
    <x v="118"/>
    <s v="Marcela Cerón"/>
    <x v="1"/>
    <s v="Virtual"/>
    <s v="Claudia Gómez "/>
    <s v="Comunicación asertiva, empatía y resolución de conflictos para estudiantes virtuales de educación superior."/>
    <d v="2025-05-29T00:00:00"/>
    <m/>
    <m/>
    <m/>
    <m/>
    <m/>
    <m/>
    <m/>
    <m/>
  </r>
  <r>
    <s v="Facultad_Ciencias_Contables_Económicas_Administrativas"/>
    <x v="10"/>
    <n v="1079177948"/>
    <x v="119"/>
    <m/>
    <x v="2"/>
    <m/>
    <m/>
    <s v="Evaluación de la factibilidad técnica y socioeconómica de un sistema fotovoltaico para la vereda la Polonia, Villavieja – Huila"/>
    <d v="2025-05-30T00:00:00"/>
    <s v="Wilman Tangarife"/>
    <s v="Maria Eugenia Nieto"/>
    <s v="Si"/>
    <m/>
    <m/>
    <m/>
    <m/>
    <m/>
  </r>
  <r>
    <s v="Facultad_Ciencias_Contables_Económicas_Administrativas"/>
    <x v="22"/>
    <m/>
    <x v="120"/>
    <m/>
    <x v="2"/>
    <m/>
    <m/>
    <s v="Posicionamiento por medio del marketing digital en las empresas B2B"/>
    <d v="2025-05-30T00:00:00"/>
    <m/>
    <s v="Maria Eugenia Nieto"/>
    <s v="Si"/>
    <m/>
    <s v="OK PYS APROB.FEB/24/2025.AAL.(EL ACTA REPOSA EN REGISTRO).subio el pdf pero falta el formato de autorización  y el acta de grado."/>
    <m/>
    <m/>
    <m/>
  </r>
  <r>
    <s v="Facultad_Ciencias_Contables_Económicas_Administrativas"/>
    <x v="23"/>
    <m/>
    <x v="121"/>
    <s v="Luz Andrea Sepúlveda"/>
    <x v="2"/>
    <m/>
    <s v="Walter Murillo"/>
    <s v="mpacto económico-ambiental frente a la producción de asfalto calidad 60/70 en la gerencia refinería de Barrancabermeja GRB"/>
    <d v="2025-05-30T00:00:00"/>
    <s v="Wilman Tangarife"/>
    <s v="Maria Eugenia Nieto"/>
    <s v="Si"/>
    <m/>
    <m/>
    <m/>
    <m/>
    <m/>
  </r>
  <r>
    <s v="Facultad_Ciencias_Contables_Económicas_Administrativas"/>
    <x v="1"/>
    <m/>
    <x v="122"/>
    <m/>
    <x v="2"/>
    <m/>
    <s v="Rubiela Jiménez Aguirre"/>
    <s v="Abuso tributario en Colombia: análisis, aplicación y responsabilidad penal"/>
    <d v="2025-05-30T00:00:00"/>
    <m/>
    <s v="Maria Eugenia Nieto"/>
    <s v="Si"/>
    <m/>
    <m/>
    <m/>
    <m/>
    <m/>
  </r>
  <r>
    <s v="Facultad_Ciencias_Contables_Económicas_Administrativas"/>
    <x v="1"/>
    <m/>
    <x v="123"/>
    <m/>
    <x v="2"/>
    <m/>
    <s v="Rubiela Jiménez Aguirre"/>
    <s v="“Abuso Tributario en Colombia: Análisis, Aplicación y Responsabilidad Penal”"/>
    <d v="2025-05-30T00:00:00"/>
    <m/>
    <s v="Maria Eugenia Nieto"/>
    <s v="Si"/>
    <m/>
    <m/>
    <m/>
    <m/>
    <m/>
  </r>
  <r>
    <s v="Facultad_Ciencias_Ingenierías"/>
    <x v="7"/>
    <n v="1032456546"/>
    <x v="124"/>
    <m/>
    <x v="2"/>
    <m/>
    <s v="Jiber Antonio Quintero Salazar"/>
    <s v="Análisis del estado de la susceptibilidad de la infraestructura hidráulica mediante herramientas GIS en la cabecera municipal de San Pablo, Nariño. "/>
    <d v="2025-05-30T00:00:00"/>
    <m/>
    <s v="Luz Andrea Sepúlveda"/>
    <s v="Si"/>
    <m/>
    <m/>
    <m/>
    <m/>
    <m/>
  </r>
  <r>
    <s v="Facultad_Ciencias_Ingenierías"/>
    <x v="7"/>
    <n v="1065895553"/>
    <x v="125"/>
    <m/>
    <x v="2"/>
    <m/>
    <s v="Jiber Antonio Quintero Salazar"/>
    <s v="Análisis del estado de la susceptibilidad de la infraestructura hidráulica mediante herramientas GIS en la cabecera municipal de San Pablo, Nariño. "/>
    <d v="2025-05-30T00:00:00"/>
    <m/>
    <s v="Luz Andrea Sepúlveda"/>
    <s v="Si"/>
    <m/>
    <m/>
    <m/>
    <m/>
    <m/>
  </r>
  <r>
    <s v="Facultad_Ciencias_Ingenierías"/>
    <x v="7"/>
    <n v="1110579334"/>
    <x v="126"/>
    <m/>
    <x v="2"/>
    <m/>
    <s v="Jiber Antonio Quintero Salazar"/>
    <s v="Análisis del estado de la susceptibilidad de la infraestructura hidráulica mediante herramientas GIS en la cabecera municipal de San Pablo, Nariño. "/>
    <d v="2025-05-30T00:00:00"/>
    <m/>
    <s v="Luz Andrea Sepúlveda"/>
    <s v="Si"/>
    <m/>
    <m/>
    <m/>
    <m/>
    <m/>
  </r>
  <r>
    <s v="Facultad_Ciencias_Ingenierías"/>
    <x v="7"/>
    <n v="1085334644"/>
    <x v="127"/>
    <m/>
    <x v="2"/>
    <m/>
    <s v="Jiber Antonio Quintero Salazar"/>
    <s v="Análisis del estado de la susceptibilidad de la infraestructura hidráulica mediante herramientas GIS en la cabecera municipal de San Pablo, Nariño. "/>
    <d v="2025-05-30T00:00:00"/>
    <m/>
    <s v="Luz Andrea Sepúlveda"/>
    <s v="Si"/>
    <m/>
    <m/>
    <m/>
    <m/>
    <m/>
  </r>
  <r>
    <s v="Facultad_Ciencias_Sociales_Humanas"/>
    <x v="18"/>
    <m/>
    <x v="128"/>
    <m/>
    <x v="2"/>
    <m/>
    <s v="Gonzalo Tamayo Giraldo"/>
    <s v="La experiencia del sentido de vida y las emociones en el bienestar psicológico de las personas mayores "/>
    <d v="2025-05-30T00:00:00"/>
    <m/>
    <s v="Juan Pablo Charry"/>
    <s v="Si"/>
    <m/>
    <s v="OK RIDUM. OK PYS APROB.FEB/19/2025.AAL."/>
    <m/>
    <m/>
    <m/>
  </r>
  <r>
    <s v="Facultad_Ciencias_Sociales_Humanas"/>
    <x v="18"/>
    <m/>
    <x v="129"/>
    <m/>
    <x v="2"/>
    <m/>
    <s v="Gonzalo Tamayo Giraldo"/>
    <s v="La experiencia del sentido de vida y las emociones en el bienestar psicológico de las personas mayores "/>
    <d v="2025-05-30T00:00:00"/>
    <m/>
    <s v="Juan Pablo Charry"/>
    <s v="Si"/>
    <m/>
    <s v="OK RIDUM. OK PYS APROB.FEB/19/2025.AAL."/>
    <m/>
    <m/>
    <m/>
  </r>
  <r>
    <s v="Facultad_Ciencias_Ingenierías"/>
    <x v="7"/>
    <n v="1003591722"/>
    <x v="130"/>
    <m/>
    <x v="2"/>
    <m/>
    <m/>
    <s v="Potencial del Turismo Cultural en Valledupar: Perspectiva Geoespacial y Estratégica"/>
    <d v="2025-05-30T00:00:00"/>
    <s v="Wilman Tangarife"/>
    <m/>
    <s v="Si"/>
    <m/>
    <m/>
    <m/>
    <m/>
    <m/>
  </r>
  <r>
    <s v="Facultad_Ciencias_Ingenierías"/>
    <x v="7"/>
    <n v="1003395591"/>
    <x v="131"/>
    <m/>
    <x v="2"/>
    <m/>
    <m/>
    <s v="Potencial del Turismo Cultural en Valledupar: Perspectiva Geoespacial y Estratégica"/>
    <d v="2025-05-30T00:00:00"/>
    <s v="Wilman Tangarife"/>
    <m/>
    <s v="Si"/>
    <m/>
    <m/>
    <m/>
    <m/>
    <m/>
  </r>
  <r>
    <s v="Facultad_Ciencias_Sociales_Humanas"/>
    <x v="24"/>
    <n v="1149454640"/>
    <x v="132"/>
    <m/>
    <x v="2"/>
    <m/>
    <m/>
    <s v="La transformación en el área de talento humano de Davivienda en las sucursales de Manizales con los modelos de trabajo híbrido/remoto"/>
    <d v="2025-05-31T00:00:00"/>
    <s v="Wilman Tangarife"/>
    <s v="Harold Estiven García"/>
    <s v="Si"/>
    <m/>
    <s v="Ya di las indicaciones a Yadira por teléfono: 1. Agregar asesores en la portada con sus estudios más altos 2. Convertir autorización a PDF 3. Agregar toda la información de la página legal (página 2) 3. Agregar resumen y abstract"/>
    <m/>
    <m/>
    <m/>
  </r>
  <r>
    <s v="Facultad_Ciencias_Sociales_Humanas"/>
    <x v="24"/>
    <n v="1110531811"/>
    <x v="133"/>
    <m/>
    <x v="2"/>
    <m/>
    <m/>
    <s v="La transformación en el área de talento humano de Davivienda en las sucursales de Manizales con los modelos de trabajo híbrido/remoto"/>
    <d v="2025-05-31T00:00:00"/>
    <s v="Wilman Tangarife"/>
    <s v="Harold Estiven García"/>
    <s v="Si"/>
    <m/>
    <s v="Ya di las indicaciones a Yadira por teléfono: 1. Agregar asesores en la portada con sus estudios más altos 2. Convertir autorización a PDF 3. Agregar toda la información de la página legal (página 2) 3. Agregar resumen y abstract"/>
    <m/>
    <m/>
    <m/>
  </r>
  <r>
    <s v="Facultad_Ciencias_Contables_Económicas_Administrativas"/>
    <x v="17"/>
    <m/>
    <x v="134"/>
    <m/>
    <x v="2"/>
    <m/>
    <s v="Pelaez Higuera, Keidy Johanna"/>
    <s v="MGT Gestión Integral"/>
    <d v="2025-06-03T00:00:00"/>
    <m/>
    <s v="Maria Eugenia Nieto"/>
    <s v="Si"/>
    <m/>
    <s v="PROYECTO EMPRENDIMIENTO.OK PYS APROB.MAR/06/2025.AAL."/>
    <m/>
    <m/>
    <m/>
  </r>
  <r>
    <s v="Facultad_Ciencias_Contables_Económicas_Administrativas"/>
    <x v="1"/>
    <m/>
    <x v="135"/>
    <m/>
    <x v="2"/>
    <m/>
    <s v="Serna Restrepo, Jairo"/>
    <s v="Exenciones en el impuesto de renta y complementarios para las personas naturales, a la luz de la ley 1819 de 2016 y la ley 2277 del 2022, desde el principio de justicia tributaria"/>
    <d v="2025-06-03T00:00:00"/>
    <m/>
    <s v="Maria Eugenia Nieto"/>
    <s v="Si"/>
    <m/>
    <s v="OK YA SUBIO A RIDUM. PNDTE SIGUM NOV/21/2024.AAL."/>
    <m/>
    <m/>
    <m/>
  </r>
  <r>
    <s v="Facultad_Ciencias_Jurídicas"/>
    <x v="5"/>
    <m/>
    <x v="136"/>
    <m/>
    <x v="2"/>
    <m/>
    <m/>
    <m/>
    <m/>
    <m/>
    <m/>
    <s v="Si"/>
    <m/>
    <s v="OK PYS APROB.FEB/28/2025.AAL."/>
    <m/>
    <m/>
    <m/>
  </r>
  <r>
    <s v="Facultad_Ciencias_Ingenierías"/>
    <x v="7"/>
    <n v="91527354"/>
    <x v="137"/>
    <m/>
    <x v="2"/>
    <m/>
    <s v="Juan Sebastián Grisales Noreña"/>
    <s v="Análisis multitemporal de cambios de coberturas para el polígono del yacimiento paleontológico del Ricaurte alto, Boyacá"/>
    <d v="2025-06-03T00:00:00"/>
    <m/>
    <s v="Luz Andrea Sepúlveda"/>
    <m/>
    <m/>
    <m/>
    <m/>
    <m/>
    <m/>
  </r>
  <r>
    <s v="Facultad_Ciencias_Ingenierías"/>
    <x v="7"/>
    <n v="1099207391"/>
    <x v="138"/>
    <m/>
    <x v="2"/>
    <m/>
    <s v="Juan Sebastián Grisales Noreña"/>
    <s v="Análisis multitemporal de cambios de coberturas para el polígono del yacimiento paleontológico del Ricaurte alto, Boyacá"/>
    <d v="2025-06-03T00:00:00"/>
    <m/>
    <s v="Luz Andrea Sepúlveda"/>
    <m/>
    <m/>
    <m/>
    <m/>
    <m/>
    <m/>
  </r>
  <r>
    <s v="Facultad_Ciencias_Contables_Económicas_Administrativas"/>
    <x v="1"/>
    <m/>
    <x v="139"/>
    <m/>
    <x v="2"/>
    <m/>
    <m/>
    <s v="“El impuesto al patrimonio en Colombia y los principios de progresividad, equidad y eficiencia”"/>
    <d v="2025-06-03T00:00:00"/>
    <m/>
    <s v="Maria Eugenia Nieto"/>
    <s v="Si"/>
    <m/>
    <m/>
    <m/>
    <m/>
    <m/>
  </r>
  <r>
    <s v="Facultad_Ciencias_Contables_Económicas_Administrativas"/>
    <x v="1"/>
    <m/>
    <x v="140"/>
    <m/>
    <x v="2"/>
    <m/>
    <m/>
    <s v="“El impuesto al patrimonio en Colombia y los principios de progresividad, equidad y eficiencia”"/>
    <d v="2025-06-03T00:00:00"/>
    <m/>
    <s v="Maria Eugenia Nieto"/>
    <s v="Si"/>
    <m/>
    <m/>
    <m/>
    <m/>
    <m/>
  </r>
  <r>
    <s v="Facultad_Ciencias_Contables_Económicas_Administrativas"/>
    <x v="23"/>
    <m/>
    <x v="141"/>
    <m/>
    <x v="2"/>
    <m/>
    <m/>
    <s v="Análisis de la calidad del agua para uso agrícola y fortalecimiento del rol social e institucional en la Quebrada El Pescador (Hobo, Huila)"/>
    <s v="03*06/2025"/>
    <m/>
    <s v="Maria Eugenia Nieto"/>
    <s v="Si"/>
    <m/>
    <m/>
    <m/>
    <m/>
    <m/>
  </r>
  <r>
    <s v="Facultad_Ciencias_Contables_Económicas_Administrativas"/>
    <x v="16"/>
    <m/>
    <x v="142"/>
    <s v="Diego Alejandro Soto"/>
    <x v="2"/>
    <m/>
    <m/>
    <s v=" Diseño de un modelo de productividad laboral que evalúa el impacto en la competitividad de las Mipymes de café especial en el Sur del departamento del Huila."/>
    <d v="2025-06-03T00:00:00"/>
    <m/>
    <s v="Maria Eugenia Nieto"/>
    <s v="Si"/>
    <m/>
    <m/>
    <m/>
    <m/>
    <m/>
  </r>
  <r>
    <s v="Facultad_Ciencias_Contables_Económicas_Administrativas"/>
    <x v="16"/>
    <m/>
    <x v="143"/>
    <m/>
    <x v="2"/>
    <m/>
    <s v="Carlos David Cardona Arenas"/>
    <s v="Desempeño socioeconómico de las subregiones del departamento del Huila y su contribución al desarrollo territorial durante el periodo 2015-2020."/>
    <d v="2025-06-03T00:00:00"/>
    <m/>
    <s v="Maria Eugenia Nieto"/>
    <s v="Si"/>
    <m/>
    <m/>
    <m/>
    <m/>
    <m/>
  </r>
  <r>
    <s v="Facultad_Ciencias_Contables_Económicas_Administrativas"/>
    <x v="23"/>
    <n v="59123167"/>
    <x v="144"/>
    <m/>
    <x v="2"/>
    <m/>
    <s v=" Carlos Humberto Gonzales Escobar "/>
    <s v="Conflictos ambientales frente al desarrollo sostenible de la microcuenca Molinoyaco en el municipio de el tambo, Nariño-Colombia "/>
    <d v="2025-06-03T00:00:00"/>
    <m/>
    <s v="Luz Andrea Sepúlveda"/>
    <s v="Si"/>
    <m/>
    <m/>
    <m/>
    <m/>
    <m/>
  </r>
  <r>
    <s v="Facultad_Ciencias_Contables_Económicas_Administrativas"/>
    <x v="21"/>
    <n v="74184594"/>
    <x v="145"/>
    <s v="Juan Pablo Charry"/>
    <x v="2"/>
    <m/>
    <s v="Carlos David Cardona Arenas "/>
    <s v="Public Takeover Offers and Their Impact on the Colombian Stock Market: A Panel - BVAR Analysis of the MSCI COLCAP (2020--2024) "/>
    <d v="2025-06-03T00:00:00"/>
    <s v="Wilman Tangarife"/>
    <s v="Luz Andrea Sepúlveda"/>
    <s v="Si"/>
    <m/>
    <m/>
    <m/>
    <m/>
    <m/>
  </r>
  <r>
    <s v="Facultad_Ciencias_Contables_Económicas_Administrativas"/>
    <x v="21"/>
    <n v="1075281361"/>
    <x v="146"/>
    <s v="Juan Pablo Charry"/>
    <x v="2"/>
    <m/>
    <s v="Carlos David Cardona Arenas "/>
    <s v="Public Takeover Offers and Their Impact on the Colombian Stock Market: A Panel - BVAR Analysis of the MSCI COLCAP (2020--2024) "/>
    <d v="2025-06-03T00:00:00"/>
    <s v="Wilman Tangarife"/>
    <s v="Luz Andrea Sepúlveda"/>
    <s v="Si"/>
    <m/>
    <m/>
    <m/>
    <m/>
    <m/>
  </r>
  <r>
    <s v="Facultad_Ciencias_Ingenierías"/>
    <x v="7"/>
    <n v="1015410513"/>
    <x v="147"/>
    <m/>
    <x v="2"/>
    <m/>
    <m/>
    <s v="Análisis Multitemporal de la Vereda Venados en la Zona de Recuperación Natural del PNN Las Orquídeas: Cobertura y Restauración 2018-2024 "/>
    <d v="2025-06-03T00:00:00"/>
    <s v="Wilman Tangarife"/>
    <s v="Maria Eugenia Nieto"/>
    <s v="Si"/>
    <m/>
    <m/>
    <m/>
    <m/>
    <m/>
  </r>
  <r>
    <s v="Facultad_Ciencias_Ingenierías"/>
    <x v="7"/>
    <n v="1152689538"/>
    <x v="148"/>
    <m/>
    <x v="2"/>
    <m/>
    <m/>
    <s v="Análisis Multitemporal de la Vereda Venados en la Zona de Recuperación Natural del PNN Las Orquídeas: Cobertura y Restauración 2018-2024 "/>
    <d v="2025-06-03T00:00:00"/>
    <s v="Wilman Tangarife"/>
    <m/>
    <s v="Si"/>
    <m/>
    <m/>
    <m/>
    <m/>
    <m/>
  </r>
  <r>
    <s v="Facultad_Ciencias_Ingenierías"/>
    <x v="7"/>
    <n v="1098738165"/>
    <x v="149"/>
    <m/>
    <x v="2"/>
    <m/>
    <m/>
    <s v="Análisis Multitemporal de la Vereda Venados en la Zona de Recuperación Natural del PNN Las Orquídeas: Cobertura y Restauración 2018-2024 "/>
    <d v="2025-06-03T00:00:00"/>
    <s v="Wilman Tangarife"/>
    <m/>
    <s v="Si"/>
    <m/>
    <m/>
    <m/>
    <m/>
    <m/>
  </r>
  <r>
    <s v="Facultad_Ciencias_Sociales_Humanas"/>
    <x v="0"/>
    <n v="1130621528"/>
    <x v="150"/>
    <s v="Juan Pablo Charry"/>
    <x v="2"/>
    <m/>
    <s v="Jaime Alberto Restrepo Soto "/>
    <s v="“Desesencializar las niñeces y las identidades: historia de vida de una joven trans"/>
    <d v="2025-06-03T00:00:00"/>
    <s v="Wilman Tangarife"/>
    <s v="Luz Andrea Sepúlveda"/>
    <s v="Si"/>
    <m/>
    <m/>
    <m/>
    <m/>
    <m/>
  </r>
  <r>
    <s v="Facultad_Ciencias_Sociales_Humanas"/>
    <x v="0"/>
    <n v="1061808902"/>
    <x v="151"/>
    <m/>
    <x v="2"/>
    <m/>
    <s v="Juan Bernardo Zuluaga Valencia"/>
    <s v="Intervención del nivel pragmático a través del juego en niños con Trastorno del Espectro Autista "/>
    <d v="2025-06-04T00:00:00"/>
    <m/>
    <s v="Luz Andrea Sepúlveda"/>
    <s v="Si"/>
    <m/>
    <m/>
    <m/>
    <m/>
    <m/>
  </r>
  <r>
    <s v="Facultad_Ciencias_Sociales_Humanas"/>
    <x v="25"/>
    <n v="1088038995"/>
    <x v="152"/>
    <m/>
    <x v="2"/>
    <m/>
    <s v="Andrés Osorio Londoño"/>
    <s v="Influencia de la compensación total en el desempeño individual de los agentes de telemarketing de Lamassu Media SAS "/>
    <d v="2025-06-04T00:00:00"/>
    <m/>
    <s v="Luz Andrea Sepúlveda"/>
    <s v="Si"/>
    <m/>
    <m/>
    <m/>
    <m/>
    <m/>
  </r>
  <r>
    <s v="Facultad_Ciencias_Contables_Económicas_Administrativas"/>
    <x v="8"/>
    <n v="1053779106"/>
    <x v="153"/>
    <s v="Harold Estiven García"/>
    <x v="0"/>
    <s v="Presencial"/>
    <s v="Marleny Cardona Acevedo"/>
    <m/>
    <d v="2025-06-04T00:00:00"/>
    <m/>
    <s v="Harold Estiven García"/>
    <s v="Si"/>
    <m/>
    <m/>
    <m/>
    <m/>
    <m/>
  </r>
  <r>
    <s v="Facultad_Ciencias_Contables_Económicas_Administrativas"/>
    <x v="8"/>
    <m/>
    <x v="154"/>
    <s v="Harold Estiven García"/>
    <x v="0"/>
    <s v="Presencial"/>
    <s v="Marleny Cardona Acevedo"/>
    <m/>
    <d v="2025-06-04T00:00:00"/>
    <m/>
    <s v="Harold Estiven García"/>
    <s v="Si"/>
    <m/>
    <m/>
    <m/>
    <m/>
    <m/>
  </r>
  <r>
    <s v="Facultad_Ciencias_Ingenierías"/>
    <x v="7"/>
    <n v="91527354"/>
    <x v="155"/>
    <m/>
    <x v="2"/>
    <m/>
    <s v="Juan Sebastián Grisales Noreña"/>
    <s v="Análisis multitemporal de cambios de coberturas para el polígono del yacimiento paleontológico del Ricaurte alto, Boyacá"/>
    <d v="2025-06-04T00:00:00"/>
    <m/>
    <s v="Luz Andrea Sepúlveda"/>
    <s v="Si"/>
    <m/>
    <m/>
    <m/>
    <m/>
    <m/>
  </r>
  <r>
    <s v="Facultad_Ciencias_Ingenierías"/>
    <x v="7"/>
    <n v="1099207391"/>
    <x v="138"/>
    <m/>
    <x v="2"/>
    <m/>
    <s v="Juan Sebastián Grisales Noreña"/>
    <s v="Análisis multitemporal de cambios de coberturas para el polígono del yacimiento paleontológico del Ricaurte alto, Boyacá"/>
    <d v="2025-06-04T00:00:00"/>
    <m/>
    <s v="Luz Andrea Sepúlveda"/>
    <s v="Si"/>
    <m/>
    <m/>
    <m/>
    <m/>
    <m/>
  </r>
  <r>
    <s v="Facultad_Ciencias_Ingenierías"/>
    <x v="26"/>
    <m/>
    <x v="156"/>
    <m/>
    <x v="2"/>
    <m/>
    <s v=" Jorge William Arboleda Valencia"/>
    <s v="Implementación de un modelo computacional predictivo de cosecha con herramientas tecnológicas avanzadas para la producción sostenible del cultivo de cacao "/>
    <d v="2025-06-04T00:00:00"/>
    <m/>
    <s v="Harold Estiven García"/>
    <s v="Si"/>
    <m/>
    <m/>
    <m/>
    <m/>
    <m/>
  </r>
  <r>
    <s v="Facultad_Ciencias_Sociales_Humanas"/>
    <x v="4"/>
    <m/>
    <x v="157"/>
    <m/>
    <x v="2"/>
    <m/>
    <s v="Claudia Patricia Jiménez Guzmán"/>
    <s v="Herramientas tecnológicas basadas en juegos como alternativa para el desarrollo de competencias matemáticas en operaciones básicas de multiplicación y división en niños y niñas de 8 a 9 años"/>
    <d v="2025-06-04T00:00:00"/>
    <m/>
    <s v="Luz Andrea Sepúlveda"/>
    <s v="Si"/>
    <m/>
    <m/>
    <m/>
    <m/>
    <m/>
  </r>
  <r>
    <s v="Facultad_Ciencias_Sociales_Humanas"/>
    <x v="4"/>
    <m/>
    <x v="158"/>
    <m/>
    <x v="2"/>
    <m/>
    <s v="Claudia Patricia Jiménez Guzmán"/>
    <s v="Herramientas tecnológicas basadas en juegos como alternativa para el desarrollo de competencias matemáticas en operaciones básicas de multiplicación y división en niños y niñas de 8 a 9 años"/>
    <d v="2025-06-04T00:00:00"/>
    <m/>
    <s v="Luz Andrea Sepúlveda"/>
    <s v="Si"/>
    <m/>
    <m/>
    <m/>
    <m/>
    <m/>
  </r>
  <r>
    <s v="Facultad_Ciencias_Contables_Económicas_Administrativas"/>
    <x v="16"/>
    <m/>
    <x v="159"/>
    <m/>
    <x v="2"/>
    <m/>
    <m/>
    <s v="FACTORES ECONÓMICOS Y SOCIALES QUE INFLUYEN EN EL"/>
    <d v="2025-06-04T00:00:00"/>
    <m/>
    <s v="Maria Eugenia Nieto"/>
    <s v="Si"/>
    <m/>
    <m/>
    <m/>
    <m/>
    <m/>
  </r>
  <r>
    <s v="Facultad_Ciencias_Sociales_Humanas"/>
    <x v="0"/>
    <n v="75104174"/>
    <x v="160"/>
    <m/>
    <x v="2"/>
    <m/>
    <s v="Juan Bernardo Zuluaga Valencia "/>
    <s v="Función ejecutiva y teoría de la mente en niños con trastorno del espectro autista"/>
    <d v="2025-06-04T00:00:00"/>
    <m/>
    <s v="Luz Andrea Sepúlveda"/>
    <s v="Si"/>
    <m/>
    <s v="Falta titulo en el formato autorización y documento principal en PDF"/>
    <m/>
    <m/>
    <m/>
  </r>
  <r>
    <s v="Facultad_Ciencias_Contables_Económicas_Administrativas"/>
    <x v="16"/>
    <m/>
    <x v="161"/>
    <m/>
    <x v="2"/>
    <m/>
    <m/>
    <s v="Análisis de las variables para la evaluación del desarrollo de la economía popular en el municipio de Villavieja"/>
    <d v="2025-06-04T00:00:00"/>
    <m/>
    <s v="Maria Eugenia Nieto"/>
    <s v="Si"/>
    <m/>
    <s v="Se rechaza porque debe hacer los siguientes ajustes:_x000a__x000a__x000a_4.Revisar el uso de las mayúsculas ya que hay nombre de capítulos donde utiliza mayúsculas sostenidas y otros solo aplica mayúscula al iniciar el título, que es lo más recomendable._x000a_5. El Formato de autorización de RIDUM, quedo sin la justificación del porque No va a publicar._x000a_"/>
    <m/>
    <m/>
    <m/>
  </r>
  <r>
    <s v="Facultad_Ciencias_Sociales_Humanas"/>
    <x v="4"/>
    <m/>
    <x v="162"/>
    <m/>
    <x v="2"/>
    <m/>
    <s v="Claudia Esperanza Cardona López"/>
    <s v="Arte y emociones: estrategias para el bienestar y la confianza"/>
    <d v="2025-06-04T00:00:00"/>
    <m/>
    <s v="Luz Andrea Sepúlveda"/>
    <s v="Si"/>
    <m/>
    <m/>
    <m/>
    <m/>
    <m/>
  </r>
  <r>
    <s v="Facultad_Ciencias_Sociales_Humanas"/>
    <x v="4"/>
    <m/>
    <x v="163"/>
    <m/>
    <x v="2"/>
    <m/>
    <s v="Claudia Esperanza Cardona López"/>
    <s v="Arte y emociones: estrategias para el bienestar y la confianza"/>
    <d v="2025-06-04T00:00:00"/>
    <m/>
    <s v="Luz Andrea Sepúlveda"/>
    <s v="Si"/>
    <m/>
    <m/>
    <m/>
    <m/>
    <m/>
  </r>
  <r>
    <s v="Facultad_Ciencias_Contables_Económicas_Administrativas"/>
    <x v="23"/>
    <m/>
    <x v="164"/>
    <m/>
    <x v="2"/>
    <m/>
    <s v="Amaya Castaño, Gloria Clemencia"/>
    <s v="Biogobernanza del agua del páramo de Santurbán: saberes ancestrales, conflictos socioambientales y resiliencia comunitaria"/>
    <m/>
    <m/>
    <s v="Maria Eugenia Nieto"/>
    <s v="Si"/>
    <m/>
    <m/>
    <m/>
    <m/>
    <m/>
  </r>
  <r>
    <s v="Facultad_Ciencias_Contables_Económicas_Administrativas"/>
    <x v="21"/>
    <n v="1023903180"/>
    <x v="165"/>
    <s v="Juan Pablo Charry"/>
    <x v="2"/>
    <m/>
    <s v="Bilver Adrián Astorquiza Bustos"/>
    <s v="Estudio de viabilidad social para la creación de una Fundación Enfocada en Deporte y el Medio Ambiente en la Empresa de Energía del Putumayo S.A. E.S.P. "/>
    <d v="2025-06-04T00:00:00"/>
    <m/>
    <s v="Luz Andrea Sepúlveda"/>
    <s v="Si"/>
    <m/>
    <m/>
    <m/>
    <m/>
    <m/>
  </r>
  <r>
    <s v="Facultad_Ciencias_Contables_Económicas_Administrativas"/>
    <x v="21"/>
    <n v="1039468353"/>
    <x v="166"/>
    <s v="Juan Pablo Charry"/>
    <x v="2"/>
    <m/>
    <s v="Bilver Adrián Astorquiza Bustos"/>
    <s v="Estudio de viabilidad social para la creación de una Fundación Enfocada en Deporte y el Medio Ambiente en la Empresa de Energía del Putumayo S.A. E.S.P. "/>
    <d v="2025-06-04T00:00:00"/>
    <m/>
    <s v="Luz Andrea Sepúlveda"/>
    <s v="Si"/>
    <m/>
    <m/>
    <m/>
    <m/>
    <m/>
  </r>
  <r>
    <s v="Facultad_Ciencias_Contables_Económicas_Administrativas"/>
    <x v="23"/>
    <m/>
    <x v="144"/>
    <m/>
    <x v="2"/>
    <m/>
    <s v="Carlos Humberto González Escobar"/>
    <s v="“Conflictos ambientales frente al desarrollo Sostenible de la microcuenca molinoyaco en el municipio de el tambo (Nariño-Colombia)”"/>
    <d v="2025-06-04T00:00:00"/>
    <m/>
    <s v="Maria Eugenia Nieto"/>
    <s v="Si"/>
    <m/>
    <m/>
    <m/>
    <m/>
    <m/>
  </r>
  <r>
    <s v="Facultad_Ciencias_Sociales_Humanas"/>
    <x v="4"/>
    <n v="1038131819"/>
    <x v="167"/>
    <m/>
    <x v="2"/>
    <m/>
    <s v="Claudia Bionet Gómez Álzate"/>
    <s v="Comunicación asertiva, empatía y resolución de conflictos para estudiantes virtuales de educación superior.  "/>
    <d v="2025-06-04T00:00:00"/>
    <m/>
    <s v="Luz Andrea Sepúlveda"/>
    <s v="Si"/>
    <m/>
    <m/>
    <m/>
    <m/>
    <m/>
  </r>
  <r>
    <s v="Facultad_Ciencias_Sociales_Humanas"/>
    <x v="4"/>
    <n v="1059810800"/>
    <x v="168"/>
    <m/>
    <x v="2"/>
    <m/>
    <s v="Claudia Bionet Gómez Álzate"/>
    <s v="Comunicación asertiva, empatía y resolución de conflictos para estudiantes virtuales de educación superior.  "/>
    <d v="2025-06-04T00:00:00"/>
    <m/>
    <s v="Luz Andrea Sepúlveda"/>
    <s v="Si"/>
    <m/>
    <m/>
    <m/>
    <m/>
    <m/>
  </r>
  <r>
    <s v="Facultad_Ciencias_Sociales_Humanas"/>
    <x v="24"/>
    <m/>
    <x v="169"/>
    <m/>
    <x v="2"/>
    <m/>
    <m/>
    <m/>
    <d v="2025-06-04T00:00:00"/>
    <m/>
    <s v="Maria Eugenia Nieto"/>
    <s v="Si"/>
    <m/>
    <m/>
    <m/>
    <m/>
    <m/>
  </r>
  <r>
    <s v="Facultad_Ciencias_Ingenierías"/>
    <x v="7"/>
    <m/>
    <x v="92"/>
    <s v="Juan Pablo Charry"/>
    <x v="2"/>
    <m/>
    <s v="Ana María Giraldo Patiño"/>
    <s v="Comparación de índices espectrales y cambios de cobertura pre y post"/>
    <d v="2025-06-04T00:00:00"/>
    <m/>
    <s v="Maria Eugenia Nieto"/>
    <s v="Si"/>
    <m/>
    <m/>
    <m/>
    <m/>
    <m/>
  </r>
  <r>
    <s v="Facultad_Ciencias_Ingenierías"/>
    <x v="7"/>
    <m/>
    <x v="93"/>
    <s v="Juan Pablo Charry"/>
    <x v="2"/>
    <m/>
    <s v="Ana María Giraldo Patiño"/>
    <s v="Comparación de índices espectrales y cambios de cobertura pre y post"/>
    <d v="2025-06-04T00:00:00"/>
    <m/>
    <s v="Maria Eugenia Nieto"/>
    <s v="Si"/>
    <m/>
    <m/>
    <m/>
    <m/>
    <m/>
  </r>
  <r>
    <s v="Facultad_Ciencias_Ingenierías"/>
    <x v="27"/>
    <m/>
    <x v="170"/>
    <s v="Juan Pablo Charry"/>
    <x v="2"/>
    <m/>
    <m/>
    <s v="Procesos de automatización y sistematización en logística 4.0 para almacenes"/>
    <d v="2025-06-04T00:00:00"/>
    <m/>
    <s v="Maria Eugenia Nieto"/>
    <s v="Si"/>
    <m/>
    <s v="OK PYS APROB.FEB/27/2025.AAL."/>
    <m/>
    <m/>
    <m/>
  </r>
  <r>
    <s v="Facultad_Ciencias_Sociales_Humanas"/>
    <x v="25"/>
    <n v="98578441"/>
    <x v="171"/>
    <m/>
    <x v="2"/>
    <m/>
    <s v="Marleny Cardona Acevedo"/>
    <s v="Cultura organizacional. O la cultura en la organización"/>
    <d v="2025-06-04T00:00:00"/>
    <m/>
    <s v="Luz Andrea Sepúlveda"/>
    <s v="Si"/>
    <m/>
    <m/>
    <m/>
    <m/>
    <m/>
  </r>
  <r>
    <s v="Facultad_Ciencias_Contables_Económicas_Administrativas"/>
    <x v="23"/>
    <m/>
    <x v="172"/>
    <m/>
    <x v="2"/>
    <m/>
    <s v="Gloria Yaneth Flórez Yepes"/>
    <s v="Aproximación al valor económico del agua en humedales y su integración a la planificación ambiental en el bajo cauca antioqueño"/>
    <d v="2025-06-04T00:00:00"/>
    <m/>
    <s v="Maria Eugenia Nieto"/>
    <s v="Si"/>
    <m/>
    <m/>
    <m/>
    <m/>
    <m/>
  </r>
  <r>
    <s v="Facultad_Ciencias_Contables_Económicas_Administrativas"/>
    <x v="8"/>
    <m/>
    <x v="173"/>
    <m/>
    <x v="2"/>
    <m/>
    <s v="Jose Fernando Barahona"/>
    <s v="Factores influyentes en la decisión de compra entre agencias de viajes tradicionales y virtuales (OTAs) para las generaciones X y Millennials, desde la perspectiva del marketing relacional"/>
    <d v="2025-06-04T00:00:00"/>
    <m/>
    <s v="Maria Eugenia Nieto"/>
    <s v="Si"/>
    <m/>
    <m/>
    <m/>
    <m/>
    <m/>
  </r>
  <r>
    <s v="Facultad_Ciencias_Contables_Económicas_Administrativas"/>
    <x v="8"/>
    <m/>
    <x v="174"/>
    <m/>
    <x v="2"/>
    <m/>
    <s v="Jose Fernando Barahona"/>
    <s v="Factores influyentes en la decisión de compra entre agencias de viajes tradicionales y virtuales (OTAs) para las generaciones X y Millennials, desde la perspectiva del marketing relacional"/>
    <d v="2025-06-04T00:00:00"/>
    <m/>
    <s v="Maria Eugenia Nieto"/>
    <s v="No"/>
    <m/>
    <s v="Organizar lista de tablas, el formato de autorización de publicación de obra debe tener el título."/>
    <m/>
    <m/>
    <m/>
  </r>
  <r>
    <s v="Facultad_Ciencias_Ingenierías"/>
    <x v="7"/>
    <n v="1130682022"/>
    <x v="175"/>
    <m/>
    <x v="2"/>
    <m/>
    <m/>
    <s v="Valoración geoestadistica de los factores modificadores mineros, ambientales y sociales en la estimación de los recursos mineros de arenas y gravas en el municipio de Yumbo (Valle del Cauca) "/>
    <d v="2025-06-04T00:00:00"/>
    <s v="Wilman Tangarife"/>
    <m/>
    <m/>
    <m/>
    <s v="Falta Título: subtítulo:   trabajo en Word"/>
    <m/>
    <m/>
    <m/>
  </r>
  <r>
    <s v="Facultad_Ciencias_Ingenierías"/>
    <x v="7"/>
    <n v="1057594286"/>
    <x v="176"/>
    <m/>
    <x v="2"/>
    <m/>
    <m/>
    <s v="Valoración geoestadistica de los factores modificadores mineros, ambientales y sociales en la estimación de los recursos mineros de arenas y gravas en el municipio de Yumbo (Valle del Cauca) "/>
    <d v="2025-06-04T00:00:00"/>
    <s v="Wilman Tangarife"/>
    <m/>
    <m/>
    <m/>
    <s v="Falta Título: subtítulo:   trabajo en Word"/>
    <m/>
    <m/>
    <m/>
  </r>
  <r>
    <s v="Facultad_Ciencias_Ingenierías"/>
    <x v="7"/>
    <n v="1004631161"/>
    <x v="177"/>
    <m/>
    <x v="2"/>
    <m/>
    <m/>
    <s v="Valoración geoestadistica de los factores modificadores mineros, ambientales y sociales en la estimación de los recursos mineros de arenas y gravas en el municipio de Yumbo (Valle del Cauca) "/>
    <d v="2025-06-04T00:00:00"/>
    <s v="Wilman Tangarife"/>
    <m/>
    <m/>
    <m/>
    <s v="Falta Título: subtítulo:   trabajo en Word"/>
    <m/>
    <m/>
    <m/>
  </r>
  <r>
    <s v="Facultad_Ciencias_Ingenierías"/>
    <x v="7"/>
    <n v="1050963122"/>
    <x v="178"/>
    <m/>
    <x v="2"/>
    <m/>
    <m/>
    <s v="Valoración geoestadistica de los factores modificadores mineros, ambientales y sociales en la estimación de los recursos mineros de arenas y gravas en el municipio de Yumbo (Valle del Cauca) "/>
    <d v="2025-06-04T00:00:00"/>
    <s v="Wilman Tangarife"/>
    <m/>
    <m/>
    <m/>
    <s v="Falta Título: subtítulo:   trabajo en Word"/>
    <m/>
    <m/>
    <m/>
  </r>
  <r>
    <s v="Facultad_Ciencias_Ingenierías"/>
    <x v="7"/>
    <n v="1233189211"/>
    <x v="179"/>
    <m/>
    <x v="2"/>
    <m/>
    <m/>
    <s v="Valoración geoestadistica de los factores modificadores mineros, ambientales y sociales en la estimación de los recursos mineros de arenas y gravas en el municipio de Yumbo (Valle del Cauca) "/>
    <d v="2025-06-04T00:00:00"/>
    <s v="Wilman Tangarife"/>
    <m/>
    <m/>
    <m/>
    <s v="Falta Título: subtítulo:   trabajo en Word"/>
    <m/>
    <m/>
    <m/>
  </r>
  <r>
    <s v="Facultad_Ciencias_Contables_Económicas_Administrativas"/>
    <x v="1"/>
    <n v="1053780662"/>
    <x v="180"/>
    <m/>
    <x v="2"/>
    <m/>
    <s v="Julián Andrés Martínez Noreña"/>
    <s v="Validez jurídica del impuesto mínimo en el acuerdo 29 de 2015 de la ciudad de Pereira."/>
    <d v="2025-06-04T00:00:00"/>
    <s v="Wilman Tangarife"/>
    <s v="Maria Eugenia Nieto"/>
    <s v="Si"/>
    <m/>
    <m/>
    <m/>
    <m/>
    <m/>
  </r>
  <r>
    <s v="Facultad_Ciencias_Jurídicas"/>
    <x v="28"/>
    <m/>
    <x v="181"/>
    <s v="Harold Estiven García"/>
    <x v="0"/>
    <s v="Virtual"/>
    <s v="Sandra Constanza Cañón Buitrago"/>
    <m/>
    <d v="2025-06-04T00:00:00"/>
    <m/>
    <s v="Harold Estiven García"/>
    <s v="Si"/>
    <m/>
    <m/>
    <m/>
    <m/>
    <m/>
  </r>
  <r>
    <s v="Facultad_Ciencias_Contables_Económicas_Administrativas"/>
    <x v="16"/>
    <n v="1081159752"/>
    <x v="182"/>
    <m/>
    <x v="2"/>
    <m/>
    <s v="Carlos David Cardona Arenas"/>
    <s v="Perspectivas económicas y estrategias para el fomento del empleo en Neiva: Un análisis crítico de los Planes de Desarrollo (1995-2024)"/>
    <d v="2025-06-04T00:00:00"/>
    <s v="Wilman Tangarife"/>
    <s v="Luz Andrea Sepúlveda"/>
    <s v="Si"/>
    <m/>
    <m/>
    <m/>
    <m/>
    <m/>
  </r>
  <r>
    <s v="Facultad_Ciencias_Contables_Económicas_Administrativas"/>
    <x v="22"/>
    <n v="1034777213"/>
    <x v="183"/>
    <m/>
    <x v="2"/>
    <m/>
    <s v="EDUARD CASTAÑO GIL"/>
    <s v="PERCEPCIÓN Y ESTRATEGIAS DE ADAPTACIÓN DE LOS TENDEROS FRENTE AL IMPACTO DE LOS DISCOUNTERS EN MANIZALES"/>
    <d v="2025-06-04T00:00:00"/>
    <s v="Wilman Tangarife"/>
    <s v="Maria Eugenia Nieto"/>
    <s v="Si"/>
    <m/>
    <m/>
    <m/>
    <m/>
    <m/>
  </r>
  <r>
    <s v="Facultad_Ciencias_Contables_Económicas_Administrativas"/>
    <x v="22"/>
    <n v="1000148794"/>
    <x v="184"/>
    <m/>
    <x v="2"/>
    <m/>
    <s v="EDUARD CASTAÑO GIL"/>
    <s v="PERCEPCIÓN Y ESTRATEGIAS DE ADAPTACIÓN DE LOS TENDEROS FRENTE AL IMPACTO DE LOS DISCOUNTERS EN MANIZALES"/>
    <d v="2025-06-04T00:00:00"/>
    <s v="Wilman Tangarife"/>
    <m/>
    <s v="Si"/>
    <m/>
    <s v="Falta todo prácticamente .Debe utilizar la plantilla, falta acta de sustentación, falta formato de autorización y versión en word del trabajo. La tabla de contenido y la bibliogrqafía debe ajustarse."/>
    <m/>
    <m/>
    <m/>
  </r>
  <r>
    <s v="Facultad_Ciencias_Sociales_Humanas"/>
    <x v="12"/>
    <m/>
    <x v="185"/>
    <m/>
    <x v="2"/>
    <m/>
    <m/>
    <s v="Somos fuente orgánica del conjunto social. Despliegues de la subjetividad política en activistas presentes en redes sociales"/>
    <d v="2025-06-05T00:00:00"/>
    <m/>
    <s v="Maria Eugenia Nieto"/>
    <s v="Si"/>
    <m/>
    <m/>
    <m/>
    <m/>
    <m/>
  </r>
  <r>
    <s v="Facultad_Ciencias_Ingenierías"/>
    <x v="7"/>
    <m/>
    <x v="179"/>
    <m/>
    <x v="2"/>
    <m/>
    <m/>
    <s v="“Valoración geoestadistica de los factores modificadores mineros, ambientales y sociales en la estimación de los recursos mineros de arenas y gravas en el municipio de Yumbo (Valle del Cauca)”"/>
    <d v="2025-06-05T00:00:00"/>
    <m/>
    <s v="Maria Eugenia Nieto"/>
    <s v="Si"/>
    <m/>
    <m/>
    <m/>
    <m/>
    <m/>
  </r>
  <r>
    <s v="Facultad_Ciencias_Ingenierías"/>
    <x v="7"/>
    <m/>
    <x v="186"/>
    <m/>
    <x v="2"/>
    <m/>
    <m/>
    <s v="“Valoración geoestadistica de los factores modificadores mineros, ambientales y sociales en la estimación de los recursos mineros de arenas y gravas en el municipio de Yumbo (Valle del Cauca)”"/>
    <d v="2025-06-05T00:00:00"/>
    <m/>
    <s v="Maria Eugenia Nieto"/>
    <s v="Si"/>
    <m/>
    <m/>
    <m/>
    <m/>
    <m/>
  </r>
  <r>
    <s v="Facultad_Ciencias_Ingenierías"/>
    <x v="7"/>
    <m/>
    <x v="187"/>
    <m/>
    <x v="2"/>
    <m/>
    <m/>
    <s v="“Valoración geoestadistica de los factores modificadores mineros, ambientales y sociales en la estimación de los recursos mineros de arenas y gravas en el municipio de Yumbo (Valle del Cauca)”"/>
    <d v="2025-06-05T00:00:00"/>
    <m/>
    <s v="Maria Eugenia Nieto"/>
    <s v="Si"/>
    <m/>
    <m/>
    <m/>
    <m/>
    <m/>
  </r>
  <r>
    <s v="Facultad_Ciencias_Ingenierías"/>
    <x v="7"/>
    <m/>
    <x v="177"/>
    <m/>
    <x v="2"/>
    <m/>
    <m/>
    <s v="“Valoración geoestadistica de los factores modificadores mineros, ambientales y sociales en la estimación de los recursos mineros de arenas y gravas en el municipio de Yumbo (Valle del Cauca)”"/>
    <d v="2025-06-05T00:00:00"/>
    <m/>
    <s v="Maria Eugenia Nieto"/>
    <s v="Si"/>
    <m/>
    <m/>
    <m/>
    <m/>
    <m/>
  </r>
  <r>
    <s v="Facultad_Ciencias_Ingenierías"/>
    <x v="7"/>
    <m/>
    <x v="188"/>
    <m/>
    <x v="2"/>
    <m/>
    <m/>
    <s v="“Valoración geoestadistica de los factores modificadores mineros, ambientales y sociales en la estimación de los recursos mineros de arenas y gravas en el municipio de Yumbo (Valle del Cauca)”"/>
    <d v="2025-06-05T00:00:00"/>
    <m/>
    <s v="Maria Eugenia Nieto"/>
    <s v="Si"/>
    <m/>
    <m/>
    <m/>
    <m/>
    <m/>
  </r>
  <r>
    <s v="Facultad_Ciencias_Sociales_Humanas"/>
    <x v="4"/>
    <m/>
    <x v="189"/>
    <m/>
    <x v="2"/>
    <m/>
    <m/>
    <s v="n Educación, denominado: A"/>
    <d v="2025-06-05T00:00:00"/>
    <m/>
    <s v="Maria Eugenia Nieto"/>
    <s v="Si"/>
    <m/>
    <m/>
    <m/>
    <m/>
    <m/>
  </r>
  <r>
    <s v="Facultad_Ciencias_Sociales_Humanas"/>
    <x v="4"/>
    <m/>
    <x v="190"/>
    <m/>
    <x v="2"/>
    <m/>
    <m/>
    <s v="n Educación, denominado: A"/>
    <d v="2025-06-05T00:00:00"/>
    <m/>
    <s v="Maria Eugenia Nieto"/>
    <s v="Si"/>
    <m/>
    <m/>
    <m/>
    <m/>
    <m/>
  </r>
  <r>
    <s v="Facultad_Ciencias_Sociales_Humanas"/>
    <x v="4"/>
    <m/>
    <x v="191"/>
    <s v="Juan Pablo Charry"/>
    <x v="2"/>
    <s v="Virtual"/>
    <s v="Claudia Patricia Jimenez"/>
    <s v="Habilidades investigativas: Una mirada que dota de sentido el aula"/>
    <d v="2025-06-05T00:00:00"/>
    <m/>
    <s v="Juan Pablo Charry"/>
    <s v="Si"/>
    <m/>
    <m/>
    <m/>
    <m/>
    <m/>
  </r>
  <r>
    <s v="Facultad_Ciencias_Sociales_Humanas"/>
    <x v="4"/>
    <m/>
    <x v="192"/>
    <s v="Juan Pablo Charry"/>
    <x v="2"/>
    <s v="Virtual"/>
    <s v="Claudia Patricia Jimenez"/>
    <s v="Habilidades investigativas: Una mirada que dota de sentido el aula"/>
    <d v="2025-06-05T00:00:00"/>
    <m/>
    <s v="Juan Pablo Charry"/>
    <s v="Si"/>
    <m/>
    <m/>
    <m/>
    <m/>
    <m/>
  </r>
  <r>
    <s v="Facultad_Ciencias_Sociales_Humanas"/>
    <x v="4"/>
    <m/>
    <x v="193"/>
    <s v="Juan Pablo Charry"/>
    <x v="2"/>
    <s v="Virtual"/>
    <s v="Claudia Patricia Jimenez"/>
    <s v="Habilidades investigativas: Una mirada que dota de sentido el aula"/>
    <d v="2025-06-05T00:00:00"/>
    <m/>
    <s v="Juan Pablo Charry"/>
    <s v="Si"/>
    <m/>
    <m/>
    <m/>
    <m/>
    <m/>
  </r>
  <r>
    <s v="Facultad_Ciencias_Ingenierías"/>
    <x v="7"/>
    <m/>
    <x v="194"/>
    <s v="Luz Andrea Sepúlveda"/>
    <x v="2"/>
    <m/>
    <m/>
    <s v="NDVI como indicador de efectividad en la aplicación de Ascophyllum nodosum en el cultivo de aguacate (Persea americana var. Hass)"/>
    <d v="2025-06-05T00:00:00"/>
    <m/>
    <s v="Maria Eugenia Nieto"/>
    <s v="Si"/>
    <m/>
    <s v="Está bien aplicado el formato de la plantilla, pero el trabajo se ha movido, hay muchos espacios empezando cada página, pues se movieron muchos títulos. Preferiblemente, cuando se vaya a empezar con un título principal pasar a la siguiente página con Control+Enter, en vez de dar espacios hasta llegar a la siguiente página, para que no suceda lo que te sucedió. -La página 40 está en blanco.-En la autorización, agregar el título en el campo después de la fecha de entrega"/>
    <m/>
    <m/>
    <m/>
  </r>
  <r>
    <s v="Facultad_Ciencias_Sociales_Humanas"/>
    <x v="6"/>
    <m/>
    <x v="195"/>
    <m/>
    <x v="2"/>
    <m/>
    <m/>
    <m/>
    <d v="2025-06-05T00:00:00"/>
    <m/>
    <s v="Maria Eugenia Nieto"/>
    <s v="Si"/>
    <m/>
    <m/>
    <m/>
    <m/>
    <m/>
  </r>
  <r>
    <s v="Facultad_Ciencias_Sociales_Humanas"/>
    <x v="4"/>
    <m/>
    <x v="196"/>
    <m/>
    <x v="2"/>
    <m/>
    <s v="Juan Carlos Rodríguez Rengifo"/>
    <s v="La gestión emocional docente: una práctica pedagógica que fomenta los entornos saludables"/>
    <d v="1900-01-04T00:00:00"/>
    <m/>
    <s v="Maria Eugenia Nieto"/>
    <s v="Si"/>
    <m/>
    <m/>
    <m/>
    <m/>
    <m/>
  </r>
  <r>
    <s v="Facultad_Ciencias_Sociales_Humanas"/>
    <x v="4"/>
    <m/>
    <x v="18"/>
    <m/>
    <x v="2"/>
    <m/>
    <s v="Juan Carlos Rodríguez Rengifo"/>
    <s v="La gestión emocional docente: una práctica pedagógica que fomenta los entornos saludables"/>
    <d v="1900-01-04T00:00:00"/>
    <m/>
    <s v="Maria Eugenia Nieto"/>
    <s v="Si"/>
    <m/>
    <m/>
    <m/>
    <m/>
    <m/>
  </r>
  <r>
    <s v="Facultad_Ciencias_Jurídicas"/>
    <x v="5"/>
    <s v="Derecho"/>
    <x v="197"/>
    <m/>
    <x v="2"/>
    <m/>
    <s v="Beatríz Mejia Serna"/>
    <s v="Los derechos del niño en la subrogación de vientres frente a la muerte de los padres intencionales "/>
    <d v="2025-06-05T00:00:00"/>
    <m/>
    <s v="Juan Pablo Charry"/>
    <s v="Si"/>
    <m/>
    <s v="Tener en cuenta los siguientes ajustes: 1. En el formato de autorización agregar el título en el campo después de la fecha de entrega a la biblioteca 2. Aplicar sangría a todos los párrafos del trabajo (sangría especial para párrafos APA) 3. Cambiar Índice por Tabla de contenido"/>
    <m/>
    <m/>
    <m/>
  </r>
  <r>
    <s v="Facultad_Ciencias_Jurídicas"/>
    <x v="5"/>
    <s v="Derecho"/>
    <x v="198"/>
    <m/>
    <x v="2"/>
    <m/>
    <s v="Beatríz Mejia Serna"/>
    <s v="Los derechos del niño en la subrogación de vientres frente a la muerte de los padres intencionales "/>
    <d v="2025-06-05T00:00:00"/>
    <m/>
    <s v="Juan Pablo Charry"/>
    <s v="Si"/>
    <m/>
    <s v="Tener en cuenta los siguientes ajustes: 1. En el formato de autorización agregar el título en el campo después de la fecha de entrega a la biblioteca 2. Aplicar sangría a todos los párrafos del trabajo (sangría especial para párrafos APA) 3. Cambiar Índice por Tabla de contenido"/>
    <m/>
    <m/>
    <m/>
  </r>
  <r>
    <s v="Facultad_Ciencias_Sociales_Humanas"/>
    <x v="12"/>
    <m/>
    <x v="199"/>
    <m/>
    <x v="2"/>
    <s v="Presencial"/>
    <s v="Julian Andrés Loaiza de la Pava"/>
    <s v="Construcción de subjetividad política en jóvenes hoppers del Colectivo Distreestyle -cultura hip hop- Localidad de Bosa, Bogotá Un abordaje desde los Estudios Culturales"/>
    <d v="2025-06-05T00:00:00"/>
    <m/>
    <s v="Juan Pablo Charry"/>
    <s v="Si"/>
    <m/>
    <s v="No aplicó plantilla, falta formato autorización, falta archivo tesis en pdf"/>
    <m/>
    <m/>
    <m/>
  </r>
  <r>
    <s v="Facultad_Ciencias_Contables_Económicas_Administrativas"/>
    <x v="10"/>
    <m/>
    <x v="200"/>
    <m/>
    <x v="2"/>
    <m/>
    <s v="Carlos Humberto Gonzáles Escobar"/>
    <s v="Análisis de los factores que generan conflictos ambientales por el uso y ocupación del suelo en el área de influencia del embalse del río bobo (Nariño – Colombia)"/>
    <d v="2025-06-05T00:00:00"/>
    <m/>
    <s v="Harold Estiven García"/>
    <s v="Si"/>
    <m/>
    <m/>
    <m/>
    <m/>
    <m/>
  </r>
  <r>
    <s v="Facultad_Ciencias_Contables_Económicas_Administrativas"/>
    <x v="10"/>
    <m/>
    <x v="201"/>
    <m/>
    <x v="2"/>
    <m/>
    <s v="Carlos Humberto Gonzáles Escobar"/>
    <s v="Análisis de los factores que generan conflictos ambientales por el uso y ocupación del suelo en el área de influencia del embalse del río bobo (Nariño – Colombia)"/>
    <d v="2025-06-05T00:00:00"/>
    <m/>
    <s v="Harold Estiven García"/>
    <s v="Si"/>
    <m/>
    <m/>
    <m/>
    <m/>
    <m/>
  </r>
  <r>
    <s v="Facultad_Ciencias_Sociales_Humanas"/>
    <x v="4"/>
    <m/>
    <x v="192"/>
    <m/>
    <x v="2"/>
    <m/>
    <m/>
    <s v="Habilidades investigativas: una mirada que dota"/>
    <d v="2025-06-05T00:00:00"/>
    <m/>
    <s v="Maria Eugenia Nieto"/>
    <s v="Si"/>
    <m/>
    <m/>
    <m/>
    <m/>
    <m/>
  </r>
  <r>
    <s v="Facultad_Ciencias_Sociales_Humanas"/>
    <x v="4"/>
    <m/>
    <x v="191"/>
    <m/>
    <x v="2"/>
    <m/>
    <m/>
    <s v="Habilidades investigativas: una mirada que dota"/>
    <d v="2025-06-05T00:00:00"/>
    <m/>
    <s v="Maria Eugenia Nieto"/>
    <s v="Si"/>
    <m/>
    <m/>
    <m/>
    <m/>
    <m/>
  </r>
  <r>
    <s v="Facultad_Ciencias_Sociales_Humanas"/>
    <x v="4"/>
    <m/>
    <x v="202"/>
    <m/>
    <x v="2"/>
    <m/>
    <m/>
    <s v="Habilidades investigativas: una mirada que dota"/>
    <d v="2025-06-05T00:00:00"/>
    <m/>
    <s v="Maria Eugenia Nieto"/>
    <s v="Si"/>
    <m/>
    <m/>
    <m/>
    <m/>
    <m/>
  </r>
  <r>
    <s v="Facultad_Ciencias_Sociales_Humanas"/>
    <x v="4"/>
    <m/>
    <x v="203"/>
    <m/>
    <x v="2"/>
    <m/>
    <m/>
    <s v="Estrategia didáctica de la voz cantada: lun estudio cuasiexperimental sobre el rendimiento vocal"/>
    <d v="2025-06-05T00:00:00"/>
    <m/>
    <s v="Maria Eugenia Nieto"/>
    <s v="Si"/>
    <m/>
    <m/>
    <m/>
    <m/>
    <m/>
  </r>
  <r>
    <s v="Facultad_Ciencias_Sociales_Humanas"/>
    <x v="4"/>
    <m/>
    <x v="204"/>
    <m/>
    <x v="2"/>
    <m/>
    <m/>
    <s v="La Influencia de las Actividades Rectoras en el Fortalecimiento en las Habilidades Sociales en Niños de Transición."/>
    <d v="2025-06-05T00:00:00"/>
    <m/>
    <s v="Maria Eugenia Nieto"/>
    <s v="Si"/>
    <m/>
    <m/>
    <m/>
    <m/>
    <m/>
  </r>
  <r>
    <s v="Facultad_Ciencias_Sociales_Humanas"/>
    <x v="4"/>
    <m/>
    <x v="205"/>
    <m/>
    <x v="2"/>
    <m/>
    <m/>
    <s v="La Influencia de las Actividades Rectoras en el Fortalecimiento en las Habilidades Sociales en Niños de Transición."/>
    <d v="2025-06-05T00:00:00"/>
    <m/>
    <s v="Maria Eugenia Nieto"/>
    <s v="Si"/>
    <m/>
    <m/>
    <m/>
    <m/>
    <m/>
  </r>
  <r>
    <m/>
    <x v="5"/>
    <m/>
    <x v="206"/>
    <m/>
    <x v="2"/>
    <m/>
    <m/>
    <s v="Biogobernanza del agua del Páramo de Santurbán: Saberes ancestrales, conflictos socioambientales y resiliencia comunitaria"/>
    <d v="2025-06-05T00:00:00"/>
    <m/>
    <s v="Maria Eugenia Nieto"/>
    <s v="Si"/>
    <m/>
    <m/>
    <m/>
    <m/>
    <m/>
  </r>
  <r>
    <s v="Facultad_Ciencias_Sociales_Humanas"/>
    <x v="4"/>
    <m/>
    <x v="207"/>
    <m/>
    <x v="2"/>
    <m/>
    <m/>
    <s v="La gestión emocional docente: una práctica pedagógica que fomenta los entornos saludables"/>
    <d v="2025-06-05T00:00:00"/>
    <m/>
    <s v="Maria Eugenia Nieto"/>
    <s v="Si"/>
    <m/>
    <m/>
    <m/>
    <m/>
    <m/>
  </r>
  <r>
    <s v="Facultad_Ciencias_Sociales_Humanas"/>
    <x v="4"/>
    <m/>
    <x v="208"/>
    <m/>
    <x v="2"/>
    <m/>
    <m/>
    <m/>
    <m/>
    <m/>
    <m/>
    <m/>
    <m/>
    <m/>
    <m/>
    <m/>
    <m/>
  </r>
  <r>
    <m/>
    <x v="5"/>
    <m/>
    <x v="208"/>
    <m/>
    <x v="2"/>
    <m/>
    <m/>
    <m/>
    <m/>
    <m/>
    <m/>
    <m/>
    <m/>
    <m/>
    <m/>
    <m/>
    <m/>
  </r>
  <r>
    <s v="Facultad_Ciencias_Ingenierías"/>
    <x v="7"/>
    <m/>
    <x v="209"/>
    <m/>
    <x v="2"/>
    <m/>
    <m/>
    <s v="GESTION FORESTAL EN LA LÍNEA DE MEDIA TENSIÓN DEL CIRCUITO"/>
    <d v="2025-06-05T00:00:00"/>
    <m/>
    <s v="Maria Eugenia Nieto"/>
    <s v="Si"/>
    <m/>
    <m/>
    <m/>
    <m/>
    <m/>
  </r>
  <r>
    <s v="Facultad_Ciencias_Contables_Económicas_Administrativas"/>
    <x v="16"/>
    <n v="1053826684"/>
    <x v="210"/>
    <s v="Luz Andrea Sepúlveda"/>
    <x v="2"/>
    <m/>
    <s v="Carlos David Cardona Arenas"/>
    <s v="VENTANA - GUAMO MEDIANTE ANALISIS SIG"/>
    <d v="2025-06-05T00:00:00"/>
    <m/>
    <s v="Luz Andrea Sepúlveda"/>
    <s v="Si"/>
    <m/>
    <m/>
    <m/>
    <m/>
    <m/>
  </r>
  <r>
    <s v="Facultad_Ciencias_Jurídicas"/>
    <x v="29"/>
    <m/>
    <x v="211"/>
    <m/>
    <x v="2"/>
    <m/>
    <s v="Cesar Augusto Jaramillo"/>
    <s v="Reforma laboral y su impacto en el mercado laboral colombiano "/>
    <d v="2025-06-05T00:00:00"/>
    <m/>
    <s v="Harold Estiven García"/>
    <s v="Si"/>
    <m/>
    <m/>
    <m/>
    <m/>
    <m/>
  </r>
  <r>
    <s v="Facultad_Ciencias_Contables_Económicas_Administrativas"/>
    <x v="16"/>
    <n v="3054158538"/>
    <x v="212"/>
    <m/>
    <x v="2"/>
    <m/>
    <s v=" Ana Lucia Paque Salazar "/>
    <s v="Diseño de un modelo de productividad laboral que evalúa el impacto en la competitividad de las Mipymes de café especial en el Sur del departamento del Huila"/>
    <d v="2025-06-05T00:00:00"/>
    <s v="Wilman Tangarife"/>
    <s v="Maria Eugenia Nieto"/>
    <s v="Si"/>
    <m/>
    <s v="Esta completo"/>
    <m/>
    <m/>
    <m/>
  </r>
  <r>
    <s v="Facultad_Ciencias_Contables_Económicas_Administrativas"/>
    <x v="1"/>
    <m/>
    <x v="213"/>
    <m/>
    <x v="2"/>
    <m/>
    <m/>
    <s v="Influencia de los aspectos sociodemográficos, percepciones y características económicas de los empresarios de Popayán en la disposición a pagar el impuesto de renta"/>
    <d v="2025-06-05T00:00:00"/>
    <m/>
    <s v="Maria Eugenia Nieto"/>
    <s v="Si"/>
    <m/>
    <m/>
    <m/>
    <m/>
    <m/>
  </r>
  <r>
    <s v="Facultad_Ciencias_Contables_Económicas_Administrativas"/>
    <x v="1"/>
    <m/>
    <x v="214"/>
    <m/>
    <x v="2"/>
    <m/>
    <m/>
    <s v="Influencia de los aspectos sociodemográficos, percepciones y características económicas de los empresarios de Popayán en la disposición a pagar el impuesto de renta"/>
    <d v="2025-06-05T00:00:00"/>
    <m/>
    <s v="Maria Eugenia Nieto"/>
    <s v="Si"/>
    <m/>
    <m/>
    <m/>
    <m/>
    <m/>
  </r>
  <r>
    <s v="Facultad_Ciencias_Sociales_Humanas"/>
    <x v="12"/>
    <m/>
    <x v="215"/>
    <m/>
    <x v="2"/>
    <m/>
    <s v="Nelson Rojas Suárez"/>
    <s v="La conservación de los niños, entre el cuidado y la ideología Las formas de la infancia desde el ideologema de cuidado en el siglo XIX "/>
    <d v="2025-06-05T00:00:00"/>
    <m/>
    <s v="Harold Estiven García"/>
    <s v="Si"/>
    <m/>
    <m/>
    <m/>
    <m/>
    <m/>
  </r>
  <r>
    <s v="Facultad_Ciencias_Contables_Económicas_Administrativas"/>
    <x v="1"/>
    <n v="75069301"/>
    <x v="216"/>
    <s v="Luz Andrea Sepúlveda"/>
    <x v="2"/>
    <m/>
    <m/>
    <s v="Incidencia del Sistema de Gestión de Calidad (SGC), establecido en la Norma Internacional de Gestión de Calidad (NIGC1), para la mejora continúa de los Procesos Tributarios de las Firmas de Auditorías, de Revisoría Fiscal y Profesionales Ejercientes Individuales (PEI)"/>
    <d v="2025-06-05T00:00:00"/>
    <s v="Wilman Tangarife"/>
    <s v="Luz Andrea Sepúlveda"/>
    <s v="Si"/>
    <m/>
    <s v="Esta completo"/>
    <m/>
    <m/>
    <m/>
  </r>
  <r>
    <s v="Facultad_Ciencias_Contables_Económicas_Administrativas"/>
    <x v="1"/>
    <n v="30393856"/>
    <x v="217"/>
    <s v="Luz Andrea Sepúlveda"/>
    <x v="2"/>
    <m/>
    <m/>
    <s v="Incidencia del Sistema de Gestión de Calidad (SGC), establecido en la Norma Internacional de Gestión de Calidad (NIGC1), para la mejora continúa de los Procesos Tributarios de las Firmas de Auditorías, de Revisoría Fiscal y Profesionales Ejercientes Individuales (PEI)"/>
    <d v="2025-06-05T00:00:00"/>
    <s v="Wilman Tangarife"/>
    <s v="Luz Andrea Sepúlveda"/>
    <s v="Si"/>
    <m/>
    <s v="Esta completo"/>
    <m/>
    <m/>
    <m/>
  </r>
  <r>
    <s v="Facultad_Ciencias_Sociales_Humanas"/>
    <x v="4"/>
    <n v="66848465"/>
    <x v="218"/>
    <m/>
    <x v="2"/>
    <m/>
    <m/>
    <s v="Trayectorias de vida y violencias en estudiantes extraedad de primaria de la Sede Francisco José de Caldas"/>
    <d v="2025-06-05T00:00:00"/>
    <s v="Wilman Tangarife"/>
    <s v="Maria Eugenia Nieto"/>
    <s v="Si"/>
    <m/>
    <s v="Falta Titulo en la plantilla de autorización y acta de sustentación de  ALEXANDRA PEREA VELÁSQUEZ"/>
    <m/>
    <m/>
    <m/>
  </r>
  <r>
    <s v="Facultad_Ciencias_Sociales_Humanas"/>
    <x v="4"/>
    <n v="66971341"/>
    <x v="219"/>
    <m/>
    <x v="2"/>
    <m/>
    <m/>
    <s v="Trayectorias de vida y violencias en estudiantes extraedad de primaria de la Sede Francisco José de Caldas"/>
    <d v="2025-06-05T00:00:00"/>
    <s v="Wilman Tangarife"/>
    <s v="Maria Eugenia Nieto"/>
    <s v="Si"/>
    <m/>
    <s v="Debe eliminar los comentarios en el ytrabajo"/>
    <m/>
    <m/>
    <m/>
  </r>
  <r>
    <s v="Facultad_Ciencias_Contables_Económicas_Administrativas"/>
    <x v="30"/>
    <m/>
    <x v="220"/>
    <s v="Luz Andrea Sepúlveda"/>
    <x v="2"/>
    <m/>
    <s v="Juan Francisco Espinosa"/>
    <s v="Percepción y alternativas de compra de vivienda como inversión en el sector inmobiliario en Colombia."/>
    <d v="2025-06-06T00:00:00"/>
    <m/>
    <s v="Luz Andrea Sepúlveda"/>
    <s v="Si"/>
    <m/>
    <s v="registro adminsitrador de flujo"/>
    <m/>
    <m/>
    <m/>
  </r>
  <r>
    <s v="Facultad_Ciencias_Contables_Económicas_Administrativas"/>
    <x v="23"/>
    <m/>
    <x v="221"/>
    <m/>
    <x v="2"/>
    <m/>
    <s v="Alejandro Echeverri "/>
    <s v="Análisis de la gobernabilidad de la Comercialización de la minería de subsistencia en el Resguardo del Alto Andágueda. "/>
    <d v="2025-06-06T00:00:00"/>
    <m/>
    <s v="Harold Estiven García"/>
    <s v="Si"/>
    <m/>
    <m/>
    <m/>
    <m/>
    <m/>
  </r>
  <r>
    <s v="Facultad_Ciencias_Contables_Económicas_Administrativas"/>
    <x v="21"/>
    <m/>
    <x v="222"/>
    <m/>
    <x v="2"/>
    <m/>
    <m/>
    <s v="Fintech as a Driver of Financial Inclusion: A Quantitative Study of Digital Demand and Impact in Colombia"/>
    <d v="1900-01-05T00:00:00"/>
    <m/>
    <s v="Maria Eugenia Nieto"/>
    <s v="Si"/>
    <m/>
    <m/>
    <m/>
    <m/>
    <m/>
  </r>
  <r>
    <s v="Facultad_Ciencias_Contables_Económicas_Administrativas"/>
    <x v="21"/>
    <m/>
    <x v="223"/>
    <m/>
    <x v="2"/>
    <m/>
    <m/>
    <s v="Fintech as a Driver of Financial Inclusion: A Quantitative Study of Digital Demand and Impact in Colombia"/>
    <d v="2025-06-06T00:00:00"/>
    <m/>
    <s v="Maria Eugenia Nieto"/>
    <s v="Si"/>
    <m/>
    <m/>
    <m/>
    <m/>
    <m/>
  </r>
  <r>
    <s v="Facultad_Ciencias_Sociales_Humanas"/>
    <x v="6"/>
    <n v="1088281507"/>
    <x v="224"/>
    <s v="Luz Andrea Sepúlveda"/>
    <x v="2"/>
    <m/>
    <s v="Gloria Isaza de Gil"/>
    <s v="La Casa Pintada: Transformaciones estéticas y educativas de un colectivo artístico en contextos de exclusión social "/>
    <d v="2025-06-06T00:00:00"/>
    <m/>
    <s v="Luz Andrea Sepúlveda"/>
    <s v="Si"/>
    <m/>
    <m/>
    <m/>
    <m/>
    <m/>
  </r>
  <r>
    <s v="Facultad_Ciencias_Sociales_Humanas"/>
    <x v="6"/>
    <n v="34445904"/>
    <x v="225"/>
    <s v="Luz Andrea Sepúlveda"/>
    <x v="2"/>
    <m/>
    <s v="Gloria Isaza de Gil"/>
    <s v="La Casa Pintada: Transformaciones estéticas y educativas de un colectivo artístico en contextos de exclusión social "/>
    <d v="1900-01-05T00:00:00"/>
    <m/>
    <s v="Luz Andrea Sepúlveda"/>
    <s v="Si"/>
    <m/>
    <m/>
    <m/>
    <m/>
    <m/>
  </r>
  <r>
    <s v="Facultad_Ciencias_Sociales_Humanas"/>
    <x v="6"/>
    <m/>
    <x v="226"/>
    <m/>
    <x v="2"/>
    <m/>
    <m/>
    <s v="Fortalecimiento de la lectura inferencial desde la diversidad: una propuesta didáctica basada en literatura afrodescendiente del cauca"/>
    <d v="2025-06-06T00:00:00"/>
    <m/>
    <s v="Harold Estiven García"/>
    <s v="Si"/>
    <m/>
    <m/>
    <m/>
    <m/>
    <m/>
  </r>
  <r>
    <s v="Facultad_Ciencias_Sociales_Humanas"/>
    <x v="6"/>
    <m/>
    <x v="227"/>
    <m/>
    <x v="2"/>
    <m/>
    <m/>
    <s v="Fortalecimiento de la lectura inferencial desde la diversidad: una propuesta didáctica basada en literatura afrodescendiente del cauca"/>
    <d v="2025-06-06T00:00:00"/>
    <m/>
    <s v="Harold Estiven García"/>
    <s v="Si"/>
    <m/>
    <m/>
    <m/>
    <m/>
    <m/>
  </r>
  <r>
    <s v="Facultad_Ciencias_Ingenierías"/>
    <x v="7"/>
    <m/>
    <x v="228"/>
    <m/>
    <x v="2"/>
    <m/>
    <s v="Ana María Giraldo Patiño"/>
    <s v="Análisis multitemporal del cambio en usos del suelo en San Vicente del Caguán, Caquetá, como insumo para actualizar el POT "/>
    <d v="2025-06-06T00:00:00"/>
    <m/>
    <s v="Harold Estiven García"/>
    <s v="Si"/>
    <m/>
    <m/>
    <m/>
    <m/>
    <m/>
  </r>
  <r>
    <s v="Facultad_Ciencias_Ingenierías"/>
    <x v="7"/>
    <m/>
    <x v="229"/>
    <m/>
    <x v="2"/>
    <m/>
    <s v="Ana María Giraldo Patiño"/>
    <s v="Análisis multitemporal del cambio en usos del suelo en San Vicente del Caguán, Caquetá, como insumo para actualizar el POT "/>
    <d v="2025-06-06T00:00:00"/>
    <m/>
    <s v="Harold Estiven García"/>
    <s v="Si"/>
    <m/>
    <m/>
    <m/>
    <m/>
    <m/>
  </r>
  <r>
    <s v="Facultad_Ciencias_Contables_Económicas_Administrativas"/>
    <x v="23"/>
    <m/>
    <x v="230"/>
    <m/>
    <x v="2"/>
    <s v="Virtual"/>
    <s v="Luis Alberto Vargas Marín"/>
    <s v=" Gaiaputare: Pensar la tierra. Una aproximación ontológica desde la ecocontabilidad"/>
    <d v="2025-06-06T00:00:00"/>
    <m/>
    <s v="Maria Eugenia Nieto"/>
    <s v="Si"/>
    <m/>
    <m/>
    <m/>
    <m/>
    <m/>
  </r>
  <r>
    <s v="Facultad_Ciencias_Ingenierías"/>
    <x v="31"/>
    <m/>
    <x v="231"/>
    <m/>
    <x v="2"/>
    <s v="Virtual"/>
    <s v="Claudia Patricia Jimenez"/>
    <s v="Transformando la educación: herramientas tecnológicas para trabajar en el aula diversa"/>
    <d v="2025-06-06T00:00:00"/>
    <m/>
    <s v="Harold Estiven García"/>
    <s v="Si"/>
    <m/>
    <s v="Comenta que le falta notas en sistema, por eso no ha generado paz y salvo en SIGUM - Trabajo de grado en RIDUM OK"/>
    <m/>
    <m/>
    <m/>
  </r>
  <r>
    <s v="Facultad_Ciencias_Contables_Económicas_Administrativas"/>
    <x v="8"/>
    <n v="1083872455"/>
    <x v="232"/>
    <m/>
    <x v="2"/>
    <m/>
    <s v="Eduard Andrés Castaño Gil"/>
    <s v="Marketing Territorial y Turismo Verde en Pitalito, Huila: Validación de Estrategias Basadas en las Preferencias de los Turistas "/>
    <d v="2025-06-06T00:00:00"/>
    <m/>
    <s v="Luz Andrea Sepúlveda"/>
    <s v="Si"/>
    <m/>
    <s v="Falta Titulo en la plantilla de autorización y algunos ajustes en el dto principal"/>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6">
  <r>
    <x v="0"/>
    <x v="0"/>
    <n v="303233100"/>
    <s v="Adriana Cardona Montes"/>
    <x v="0"/>
    <x v="0"/>
    <x v="0"/>
    <m/>
    <m/>
    <x v="0"/>
    <m/>
    <m/>
    <m/>
    <m/>
    <m/>
    <m/>
    <m/>
    <m/>
  </r>
  <r>
    <x v="0"/>
    <x v="0"/>
    <n v="130621528"/>
    <s v="Valentina Ceballos Montoya"/>
    <x v="0"/>
    <x v="0"/>
    <x v="0"/>
    <m/>
    <m/>
    <x v="0"/>
    <m/>
    <s v="Luz Andrea Sepúlveda"/>
    <m/>
    <m/>
    <s v="listo"/>
    <m/>
    <m/>
    <m/>
  </r>
  <r>
    <x v="0"/>
    <x v="0"/>
    <n v="1026574422"/>
    <s v="Julieth Maritza Rosales Erazo"/>
    <x v="0"/>
    <x v="0"/>
    <x v="0"/>
    <s v="Jaime Alberto Restrepo Soto"/>
    <s v="Prácticas colaborativas y de cuidado en un centro educativo infantil privado, Sistematización de la experiencia"/>
    <x v="0"/>
    <m/>
    <s v="Harold Estiven García"/>
    <s v="Si"/>
    <m/>
    <m/>
    <m/>
    <m/>
    <m/>
  </r>
  <r>
    <x v="0"/>
    <x v="0"/>
    <n v="67039042"/>
    <s v="Gina Tatiana Sandoval Vélez"/>
    <x v="0"/>
    <x v="0"/>
    <x v="0"/>
    <m/>
    <m/>
    <x v="0"/>
    <m/>
    <m/>
    <m/>
    <m/>
    <m/>
    <m/>
    <m/>
    <m/>
  </r>
  <r>
    <x v="0"/>
    <x v="0"/>
    <n v="75104174"/>
    <s v="Andrés Mauricio Cardona Aguirre"/>
    <x v="0"/>
    <x v="0"/>
    <x v="0"/>
    <m/>
    <m/>
    <x v="0"/>
    <m/>
    <m/>
    <m/>
    <m/>
    <m/>
    <m/>
    <m/>
    <m/>
  </r>
  <r>
    <x v="0"/>
    <x v="0"/>
    <n v="16553187"/>
    <s v="Carlos Augusto Jiménez Laverde"/>
    <x v="0"/>
    <x v="0"/>
    <x v="0"/>
    <m/>
    <m/>
    <x v="0"/>
    <m/>
    <m/>
    <m/>
    <m/>
    <m/>
    <m/>
    <m/>
    <m/>
  </r>
  <r>
    <x v="1"/>
    <x v="1"/>
    <n v="28817433"/>
    <s v="Luisa Fernanda Sierra Betancourt"/>
    <x v="0"/>
    <x v="0"/>
    <x v="0"/>
    <s v="Julián Gómez Sánchez, John Jairo Restrepo Lizcano"/>
    <m/>
    <x v="0"/>
    <m/>
    <m/>
    <m/>
    <m/>
    <m/>
    <m/>
    <m/>
    <m/>
  </r>
  <r>
    <x v="1"/>
    <x v="2"/>
    <n v="79590698"/>
    <s v="Héctor Edwin Beltrán Gutiérrez"/>
    <x v="1"/>
    <x v="0"/>
    <x v="0"/>
    <m/>
    <s v="El cambio climático en el contexto de la comunicación y percepción de poblaciones focales a la luz de los objetivos de desarrollo sostenible_x000a__x000a_Nombre directora trabajo grado: Gloria Yaneth Flórez Yepes"/>
    <x v="1"/>
    <m/>
    <m/>
    <m/>
    <m/>
    <m/>
    <m/>
    <m/>
    <m/>
  </r>
  <r>
    <x v="2"/>
    <x v="3"/>
    <n v="1053773060"/>
    <s v="Alexander Valencia Valencia"/>
    <x v="2"/>
    <x v="0"/>
    <x v="1"/>
    <m/>
    <s v="Evaluación del &quot;Preprocesamiento de Documentos&quot; y &quot;Configuración del Recuperador&quot; en un Asistente Inteligente Basado en RAG .                              Director trabajo de grado: Juan Pablo Giraldo Rendón"/>
    <x v="2"/>
    <m/>
    <s v="Luz Andrea Sepúlveda"/>
    <m/>
    <m/>
    <m/>
    <m/>
    <m/>
    <m/>
  </r>
  <r>
    <x v="0"/>
    <x v="4"/>
    <n v="1094921747"/>
    <s v="Jenny Alexandra Castillo Vásquez"/>
    <x v="0"/>
    <x v="1"/>
    <x v="0"/>
    <m/>
    <s v="Familia, desempeño académico y emociones: una propuesta metodológica sobre la influencia del apoyo familiar y la gestión emocional, en el desempeño académico de los estudiantes. Director trabajo de grado, Juan Carlos Rodríguez."/>
    <x v="3"/>
    <m/>
    <m/>
    <m/>
    <m/>
    <m/>
    <m/>
    <m/>
    <m/>
  </r>
  <r>
    <x v="0"/>
    <x v="4"/>
    <n v="24729328"/>
    <s v="Rosa Lilia Villa Salazar"/>
    <x v="0"/>
    <x v="1"/>
    <x v="0"/>
    <m/>
    <s v="Familia, desempeño académico y emociones: una propuesta metodológica sobre la influencia del apoyo familiar y la gestión emocional, en el desempeño académico de los estudiantes. Director trabajo de grado, Juan Carlos Rodríguez."/>
    <x v="3"/>
    <m/>
    <m/>
    <m/>
    <m/>
    <m/>
    <m/>
    <m/>
    <m/>
  </r>
  <r>
    <x v="0"/>
    <x v="4"/>
    <n v="33368779"/>
    <s v="Dilsa Mireya Jiménez Neira"/>
    <x v="0"/>
    <x v="1"/>
    <x v="0"/>
    <m/>
    <s v="El color: una propuesta pedagógica inspirada en la sistematización autobiográfica de Dilsa Jiménez. Director trabajo de grado, Juan Carlos Rodríguez."/>
    <x v="3"/>
    <m/>
    <m/>
    <m/>
    <m/>
    <m/>
    <m/>
    <m/>
    <m/>
  </r>
  <r>
    <x v="0"/>
    <x v="4"/>
    <n v="29122212"/>
    <s v="Karolina Castillo Murillo"/>
    <x v="0"/>
    <x v="1"/>
    <x v="0"/>
    <m/>
    <s v="Impacto de estrategias de educación emocional  y su incidencia en el bienestar subjetivo de los docentes para el fortalecimiento de la convivencia escolar en la Institución Educativa General José María Cabal de la ciudad de Cali durante el período 2020-2023. Director trabajo de grado, Juan Carlos Rodríguez."/>
    <x v="3"/>
    <m/>
    <m/>
    <m/>
    <m/>
    <m/>
    <m/>
    <m/>
    <m/>
  </r>
  <r>
    <x v="3"/>
    <x v="5"/>
    <n v="67039341"/>
    <s v="Adriana López Pinchao"/>
    <x v="0"/>
    <x v="1"/>
    <x v="0"/>
    <m/>
    <s v="Impacto de estrategias de educación emocional  y su incidencia en el bienestar subjetivo de los docentes para el fortalecimiento de la convivencia escolar en la Institución Educativa General José María Cabal de la ciudad de Cali durante el período 2020-2023. Director trabajo de grado, Juan Carlos Rodríguez."/>
    <x v="3"/>
    <m/>
    <m/>
    <m/>
    <m/>
    <m/>
    <m/>
    <m/>
    <m/>
  </r>
  <r>
    <x v="0"/>
    <x v="4"/>
    <n v="31886650"/>
    <s v="Sandra del Socorro Márquez"/>
    <x v="0"/>
    <x v="1"/>
    <x v="0"/>
    <m/>
    <s v="Impacto de estrategias de educación emocional  y su incidencia en el bienestar subjetivo de los docentes para el fortalecimiento de la convivencia escolar en la Institución Educativa General José María Cabal de la ciudad de Cali durante el período 2020-2023. Director trabajo de grado, Juan Carlos Rodríguez."/>
    <x v="3"/>
    <m/>
    <m/>
    <m/>
    <m/>
    <m/>
    <m/>
    <m/>
    <m/>
  </r>
  <r>
    <x v="0"/>
    <x v="4"/>
    <m/>
    <s v="Esmeralda Cajiao Cajiao"/>
    <x v="0"/>
    <x v="1"/>
    <x v="0"/>
    <m/>
    <s v="Pensamiento matemático - Práctica pedagógica - Gestión emocional. Director trabajo de grado, Juan Carlos Rodríguez."/>
    <x v="3"/>
    <m/>
    <m/>
    <m/>
    <m/>
    <m/>
    <m/>
    <m/>
    <m/>
  </r>
  <r>
    <x v="0"/>
    <x v="4"/>
    <m/>
    <s v="Herbert Orlando Gómez Quijano"/>
    <x v="0"/>
    <x v="1"/>
    <x v="0"/>
    <m/>
    <s v="Pensamiento matemático - Práctica pedagógica - Gestión emocional. Director trabajo de grado, Juan Carlos Rodríguez."/>
    <x v="3"/>
    <m/>
    <m/>
    <m/>
    <m/>
    <m/>
    <m/>
    <m/>
    <m/>
  </r>
  <r>
    <x v="0"/>
    <x v="4"/>
    <n v="75088144"/>
    <s v="Andrés Felipe Castro Flórez"/>
    <x v="0"/>
    <x v="1"/>
    <x v="0"/>
    <m/>
    <s v="Prácticas pedagógicas, entornos saludables y gestión emocional. Director trabajo de grado, Juan Carlos Rodríguez."/>
    <x v="3"/>
    <m/>
    <s v="Harold Estiven García"/>
    <s v="No"/>
    <m/>
    <s v="Todo el artículo está muy bien estructurado. Realizar solo dos pequeños ajustes: 1. En el formato de autorización, agregar el título en el campo que corresponde, debajo de la fecha 2. En la portada del trabajo, seleccionar el tipo de documento (artículo de investigación, artículo de revisión, tesis, etc)."/>
    <m/>
    <m/>
    <m/>
  </r>
  <r>
    <x v="0"/>
    <x v="4"/>
    <m/>
    <s v="Salomé Franco Patiño"/>
    <x v="0"/>
    <x v="1"/>
    <x v="0"/>
    <m/>
    <s v="Prácticas pedagógicas, entornos saludables y gestión emocional. Director trabajo de grado, Juan Carlos Rodríguez."/>
    <x v="3"/>
    <m/>
    <s v="Harold Estiven García"/>
    <s v="No"/>
    <m/>
    <s v="Todo el artículo está muy bien estructurado. Realizar solo dos pequeños ajustes: 1. En el formato de autorización, agregar el título en el campo que corresponde, debajo de la fecha 2. En la portada del trabajo, seleccionar el tipo de documento (artículo de investigación, artículo de revisión, tesis, etc)."/>
    <m/>
    <m/>
    <m/>
  </r>
  <r>
    <x v="0"/>
    <x v="4"/>
    <n v="1225091014"/>
    <s v="Yuliana Jaramillo Ortiz"/>
    <x v="0"/>
    <x v="1"/>
    <x v="0"/>
    <m/>
    <s v="Gestión emocional y su relación con los estilos parentales experimentados durante la infancia: un estudio en padres de la Escuela maternal sembradores de Dios de Cali. Director trabajo de grado, Juan Carlos Rodríguez."/>
    <x v="3"/>
    <m/>
    <m/>
    <m/>
    <m/>
    <m/>
    <m/>
    <m/>
    <m/>
  </r>
  <r>
    <x v="0"/>
    <x v="4"/>
    <n v="94510921"/>
    <s v="Wilmer Ossa Tobar"/>
    <x v="0"/>
    <x v="1"/>
    <x v="0"/>
    <m/>
    <s v="Gestión emocional y su relación con los estilos parentales experimentados durante la infancia: un estudio en padres de la Escuela maternal sembradores de Dios de Cali. Director trabajo de grado, Juan Carlos Rodríguez."/>
    <x v="3"/>
    <m/>
    <m/>
    <m/>
    <m/>
    <m/>
    <m/>
    <m/>
    <m/>
  </r>
  <r>
    <x v="0"/>
    <x v="6"/>
    <m/>
    <s v="Diana Molina Acuña"/>
    <x v="0"/>
    <x v="1"/>
    <x v="0"/>
    <m/>
    <s v="El sabatino en los contextos familiares: las prácticas pedagógicas que cambian vidas. Director trabajo de grado, Juan Carlos Rodríguez."/>
    <x v="3"/>
    <m/>
    <m/>
    <m/>
    <m/>
    <m/>
    <m/>
    <m/>
    <m/>
  </r>
  <r>
    <x v="0"/>
    <x v="6"/>
    <m/>
    <s v="Lucy Johana Fuertes Ortiz"/>
    <x v="0"/>
    <x v="1"/>
    <x v="0"/>
    <m/>
    <s v="El sabatino en los contextos familiares: Las prácticas pedagógicas que cambian vidas. Director de trabajo de grado, Juan Carlos Rodríguez."/>
    <x v="3"/>
    <m/>
    <m/>
    <m/>
    <m/>
    <m/>
    <m/>
    <m/>
    <m/>
  </r>
  <r>
    <x v="1"/>
    <x v="1"/>
    <n v="28817433"/>
    <s v="Luisa Fernanda Sánchez Betancourt"/>
    <x v="0"/>
    <x v="1"/>
    <x v="0"/>
    <m/>
    <s v="Directores de trabajo de grado, Julián Gómez Sánchez y John Jairo Restrepo Lizcano."/>
    <x v="3"/>
    <m/>
    <m/>
    <m/>
    <m/>
    <s v="No enviaron el nombre de su artículo"/>
    <m/>
    <m/>
    <m/>
  </r>
  <r>
    <x v="2"/>
    <x v="7"/>
    <m/>
    <s v="Lorena Osorio Almanza"/>
    <x v="2"/>
    <x v="0"/>
    <x v="0"/>
    <m/>
    <m/>
    <x v="4"/>
    <m/>
    <m/>
    <m/>
    <m/>
    <m/>
    <m/>
    <m/>
    <m/>
  </r>
  <r>
    <x v="2"/>
    <x v="7"/>
    <m/>
    <s v="Carlos Andrés Barco Rojas"/>
    <x v="2"/>
    <x v="0"/>
    <x v="0"/>
    <m/>
    <m/>
    <x v="4"/>
    <m/>
    <m/>
    <m/>
    <m/>
    <m/>
    <m/>
    <m/>
    <m/>
  </r>
  <r>
    <x v="2"/>
    <x v="7"/>
    <m/>
    <s v="Johana Jaimes Valbuena"/>
    <x v="2"/>
    <x v="0"/>
    <x v="0"/>
    <m/>
    <m/>
    <x v="4"/>
    <m/>
    <m/>
    <m/>
    <m/>
    <m/>
    <m/>
    <m/>
    <m/>
  </r>
  <r>
    <x v="2"/>
    <x v="7"/>
    <m/>
    <s v="Laura Milena Parra Gómez"/>
    <x v="2"/>
    <x v="0"/>
    <x v="0"/>
    <m/>
    <m/>
    <x v="4"/>
    <m/>
    <m/>
    <m/>
    <m/>
    <m/>
    <m/>
    <m/>
    <m/>
  </r>
  <r>
    <x v="2"/>
    <x v="7"/>
    <m/>
    <s v="Carlos Andrés Mendoza S"/>
    <x v="2"/>
    <x v="0"/>
    <x v="0"/>
    <m/>
    <m/>
    <x v="4"/>
    <m/>
    <m/>
    <m/>
    <m/>
    <m/>
    <m/>
    <m/>
    <m/>
  </r>
  <r>
    <x v="2"/>
    <x v="7"/>
    <m/>
    <s v="Johana   Quintero"/>
    <x v="2"/>
    <x v="0"/>
    <x v="0"/>
    <m/>
    <m/>
    <x v="4"/>
    <m/>
    <m/>
    <m/>
    <m/>
    <m/>
    <m/>
    <m/>
    <m/>
  </r>
  <r>
    <x v="2"/>
    <x v="7"/>
    <m/>
    <s v="Andrés Felipe Rios"/>
    <x v="2"/>
    <x v="0"/>
    <x v="0"/>
    <m/>
    <m/>
    <x v="4"/>
    <m/>
    <m/>
    <s v="Si"/>
    <m/>
    <m/>
    <m/>
    <m/>
    <m/>
  </r>
  <r>
    <x v="2"/>
    <x v="7"/>
    <m/>
    <s v="Laura Orozco Santafé"/>
    <x v="2"/>
    <x v="0"/>
    <x v="0"/>
    <m/>
    <m/>
    <x v="4"/>
    <m/>
    <m/>
    <s v="Si"/>
    <m/>
    <m/>
    <m/>
    <m/>
    <m/>
  </r>
  <r>
    <x v="0"/>
    <x v="6"/>
    <m/>
    <s v="Saul Prieto Moncayo"/>
    <x v="2"/>
    <x v="0"/>
    <x v="0"/>
    <s v="Yenny Andrea Gutiérrez Toro"/>
    <s v="Experiencias de aprendizaje situado que favorecen el desarrollo del pensamiento lógico – etnomatemático "/>
    <x v="5"/>
    <m/>
    <m/>
    <m/>
    <m/>
    <m/>
    <m/>
    <m/>
    <m/>
  </r>
  <r>
    <x v="1"/>
    <x v="8"/>
    <m/>
    <s v="Leidy Julieth Artunduaga "/>
    <x v="2"/>
    <x v="0"/>
    <x v="0"/>
    <m/>
    <m/>
    <x v="6"/>
    <m/>
    <m/>
    <m/>
    <m/>
    <m/>
    <m/>
    <m/>
    <m/>
  </r>
  <r>
    <x v="4"/>
    <x v="9"/>
    <m/>
    <s v="Héctor Alexánder López Leguizamón"/>
    <x v="3"/>
    <x v="0"/>
    <x v="0"/>
    <m/>
    <s v="Cambio jurídico de paradigma en los Contratos Legales Inteligentes a partir de la teoría de los sistemas y de la voluntad privada."/>
    <x v="7"/>
    <m/>
    <m/>
    <m/>
    <m/>
    <m/>
    <m/>
    <m/>
    <m/>
  </r>
  <r>
    <x v="4"/>
    <x v="9"/>
    <m/>
    <s v="Héctor Alexánder López Leguizamón"/>
    <x v="3"/>
    <x v="0"/>
    <x v="0"/>
    <m/>
    <s v="Cambio jurídico de paradigma en los Contratos Legales Inteligentes a partir de la teoría de los sistemas y de la voluntad privada."/>
    <x v="8"/>
    <m/>
    <m/>
    <m/>
    <m/>
    <m/>
    <m/>
    <m/>
    <m/>
  </r>
  <r>
    <x v="4"/>
    <x v="9"/>
    <m/>
    <s v="Héctor Alexánder López Leguizamón"/>
    <x v="3"/>
    <x v="0"/>
    <x v="0"/>
    <m/>
    <s v="Cambio jurídico de paradigma en los Contratos Legales Inteligentes a partir de la teoría de los sistemas y de la voluntad privada."/>
    <x v="9"/>
    <m/>
    <m/>
    <m/>
    <m/>
    <m/>
    <m/>
    <m/>
    <m/>
  </r>
  <r>
    <x v="1"/>
    <x v="10"/>
    <m/>
    <s v="Luisa Fernanda Solórzano Galindo"/>
    <x v="3"/>
    <x v="0"/>
    <x v="0"/>
    <s v="Henry Reyes Pineda"/>
    <s v="Análisis de la calidad del agua para uso agrícola y fortalecimiento del rol social e institucional en la Quebrada El Pescador (Hobo, Huila) "/>
    <x v="10"/>
    <m/>
    <s v="Harold Estiven García"/>
    <s v="No"/>
    <m/>
    <s v="Falta agregar el título a la autorización"/>
    <m/>
    <m/>
    <m/>
  </r>
  <r>
    <x v="0"/>
    <x v="0"/>
    <n v="1130621528"/>
    <s v="Valentina Ceballos Montoya"/>
    <x v="1"/>
    <x v="0"/>
    <x v="0"/>
    <s v="Jaime Alberto Restrepo Soto"/>
    <s v="Desesencializar las niñeces y las identidades: historia de vida de una joven trans"/>
    <x v="11"/>
    <m/>
    <s v="Luz Andrea Sepúlveda"/>
    <s v="Si"/>
    <m/>
    <m/>
    <m/>
    <m/>
    <m/>
  </r>
  <r>
    <x v="2"/>
    <x v="7"/>
    <m/>
    <s v="Angie Yorleni Gordillo Sánchez "/>
    <x v="1"/>
    <x v="0"/>
    <x v="0"/>
    <s v="Betancourth Ossa  María Camila"/>
    <s v="Desarrollo de un sistema de información geográfica para optimizar análisis espaciales en la secretaría de planeación de San Martín, Meta"/>
    <x v="11"/>
    <m/>
    <s v="Luz Andrea Sepúlveda"/>
    <m/>
    <m/>
    <s v="Ajustar bibliográfia y espacios en el documento principal, cédulas en la autorización"/>
    <m/>
    <m/>
    <m/>
  </r>
  <r>
    <x v="2"/>
    <x v="7"/>
    <m/>
    <s v="Julian Camilo Saray Montenegro "/>
    <x v="1"/>
    <x v="2"/>
    <x v="0"/>
    <s v="Betancourth Ossa  María Camila"/>
    <s v="Desarrollo de un sistema de información geográfica para optimizar análisis espaciales en la secretaria de planeación de San Martin, Meta”"/>
    <x v="11"/>
    <m/>
    <s v="Luz Andrea Sepúlveda"/>
    <m/>
    <m/>
    <s v="Ajustar bibliográfia y espacios en el documento principal, cédulas en la autorización"/>
    <m/>
    <m/>
    <m/>
  </r>
  <r>
    <x v="2"/>
    <x v="7"/>
    <n v="1061723812"/>
    <s v="Viviana Marcela Chicangana Ramírez"/>
    <x v="4"/>
    <x v="0"/>
    <x v="1"/>
    <s v="María Camila Betancourth Ossa"/>
    <s v="“Análisis de Fragmentación del Bosque Húmedo Tropical en el Parque Nacional Natural Munchique, Cauca."/>
    <x v="11"/>
    <s v="Wilman Tangarife"/>
    <s v="Harold Estiven García"/>
    <s v="Si"/>
    <m/>
    <s v="Título: subtítulo: Falta en la autorización"/>
    <m/>
    <m/>
    <m/>
  </r>
  <r>
    <x v="2"/>
    <x v="7"/>
    <n v="1123301215"/>
    <s v="Jhon Harol López Pérez"/>
    <x v="4"/>
    <x v="0"/>
    <x v="1"/>
    <s v="María Camila Betancourth Ossa"/>
    <s v="“Análisis de Fragmentación del Bosque Húmedo Tropical en el Parque Nacional Natural Munchique, Cauca."/>
    <x v="11"/>
    <s v="Wilman Tangarife"/>
    <s v="Harold Estiven García"/>
    <s v="Si"/>
    <m/>
    <s v="Título: subtítulo: Falta en la autorización"/>
    <m/>
    <m/>
    <m/>
  </r>
  <r>
    <x v="2"/>
    <x v="7"/>
    <n v="30400311"/>
    <s v="Diana Marcela Quintero García"/>
    <x v="4"/>
    <x v="0"/>
    <x v="1"/>
    <s v="María Camila Betancourth Ossa"/>
    <s v="“Análisis de Fragmentación del Bosque Húmedo Tropical en el Parque Nacional Natural Munchique, Cauca."/>
    <x v="11"/>
    <s v="Wilman Tangarife"/>
    <s v="Harold Estiven García"/>
    <s v="Si"/>
    <m/>
    <s v="Título: subtítulo: Falta en la autorización"/>
    <m/>
    <m/>
    <m/>
  </r>
  <r>
    <x v="2"/>
    <x v="7"/>
    <n v="76281994"/>
    <s v="Eider Antonio Montenegro Ortega"/>
    <x v="4"/>
    <x v="0"/>
    <x v="1"/>
    <s v="María Camila Betancourth Ossa"/>
    <s v="“Análisis de Fragmentación del Bosque Húmedo Tropical en el Parque Nacional Natural Munchique, Cauca."/>
    <x v="11"/>
    <s v="Wilman Tangarife"/>
    <s v="Harold Estiven García"/>
    <s v="Si"/>
    <m/>
    <s v="Título: subtítulo: Falta en la autorización"/>
    <m/>
    <m/>
    <m/>
  </r>
  <r>
    <x v="1"/>
    <x v="1"/>
    <m/>
    <s v="Rubén Darío Betancur López "/>
    <x v="4"/>
    <x v="2"/>
    <x v="2"/>
    <s v="Rubiela Jiménez Aguirre,  Luis Fernando Gómez Montoya"/>
    <s v="Abuso Tributario en Colombia: Análisis, Aplicación y Responsabilidad Penal"/>
    <x v="12"/>
    <m/>
    <s v="Maria Eugenia Nieto"/>
    <s v="Si"/>
    <m/>
    <m/>
    <m/>
    <m/>
    <m/>
  </r>
  <r>
    <x v="1"/>
    <x v="1"/>
    <m/>
    <s v="Julián Andrés Tabarquino Mápura"/>
    <x v="4"/>
    <x v="2"/>
    <x v="2"/>
    <s v="Rubiela Jiménez Aguirre,  Luis Fernando Gómez Montoya"/>
    <s v="Abuso Tributario en Colombia: Análisis, Aplicación y Responsabilidad Penal"/>
    <x v="12"/>
    <m/>
    <s v="Maria Eugenia Nieto"/>
    <s v="Si"/>
    <m/>
    <m/>
    <m/>
    <m/>
    <m/>
  </r>
  <r>
    <x v="2"/>
    <x v="11"/>
    <n v="1002654894"/>
    <s v="Sayan Camilo Mosquera Román"/>
    <x v="4"/>
    <x v="2"/>
    <x v="2"/>
    <s v="Viviana Cardona Posada"/>
    <s v="Implementación de un asistente virtual para la evaluación docente en la Universidad de Manizales basado en Microsoft Azure y procesamiento de PDF"/>
    <x v="12"/>
    <s v="Álvaro Agudelo"/>
    <s v="Luz Andrea Sepúlveda"/>
    <s v="Si"/>
    <m/>
    <m/>
    <m/>
    <m/>
    <m/>
  </r>
  <r>
    <x v="2"/>
    <x v="11"/>
    <n v="1002619297"/>
    <s v="Eilyn Dayhanna Buitrago Duque"/>
    <x v="4"/>
    <x v="2"/>
    <x v="2"/>
    <s v="Viviana Cardona Posada"/>
    <s v="Implementación de un asistente virtual para la evaluación docente en la Universidad de Manizales basado en Microsoft Azure y procesamiento de PDF"/>
    <x v="12"/>
    <s v="Álvaro Agudelo"/>
    <s v="Luz Andrea Sepúlveda"/>
    <s v="Si"/>
    <m/>
    <m/>
    <m/>
    <m/>
    <m/>
  </r>
  <r>
    <x v="2"/>
    <x v="11"/>
    <n v="1053848609"/>
    <s v="Michael David Herrada Castañeda"/>
    <x v="4"/>
    <x v="2"/>
    <x v="2"/>
    <s v="Viviana Cardona Posada"/>
    <s v="Implementación de un asistente virtual para la evaluación docente en la Universidad de Manizales basado en Microsoft Azure y procesamiento de PDF"/>
    <x v="12"/>
    <s v="Álvaro Agudelo"/>
    <s v="Luz Andrea Sepúlveda"/>
    <s v="Si"/>
    <m/>
    <m/>
    <m/>
    <m/>
    <m/>
  </r>
  <r>
    <x v="2"/>
    <x v="7"/>
    <n v="1007424188"/>
    <s v="Gabriel Alejandro Mesa Salamanca "/>
    <x v="4"/>
    <x v="2"/>
    <x v="2"/>
    <s v="Valbuena Gaona Martha Patricia"/>
    <s v="Implementación de inteligencia artificial para la actualización de zonas homogéneas físicas rurales en el Municipio de Monguí, Boyacá"/>
    <x v="12"/>
    <m/>
    <s v="Luz Andrea Sepúlveda"/>
    <s v="Si"/>
    <m/>
    <s v="Se debe organizar una cita en la página 23, nombrar archivos"/>
    <m/>
    <m/>
    <m/>
  </r>
  <r>
    <x v="2"/>
    <x v="7"/>
    <n v="1031179320"/>
    <s v="Kevin Santiago Rodriguez Leon "/>
    <x v="4"/>
    <x v="2"/>
    <x v="2"/>
    <s v="Valbuena Gaona Martha Patricia"/>
    <s v="Implementación de inteligencia artificial para la actualización de zonas homogéneas físicas rurales en el Municipio de Monguí, Boyacá"/>
    <x v="12"/>
    <m/>
    <s v="Luz Andrea Sepúlveda"/>
    <s v="Si"/>
    <m/>
    <s v="Se debe organizar una cita en la página 23, nombrar archivos"/>
    <m/>
    <m/>
    <m/>
  </r>
  <r>
    <x v="2"/>
    <x v="7"/>
    <n v="1026300170"/>
    <s v="Angie Shirley Mendoza Cañon "/>
    <x v="4"/>
    <x v="2"/>
    <x v="2"/>
    <s v="Valbuena Gaona Martha Patricia"/>
    <s v="Implementación de inteligencia artificial para la actualización de zonas homogéneas físicas rurales en el Municipio de Monguí, Boyacá"/>
    <x v="12"/>
    <m/>
    <s v="Luz Andrea Sepúlveda"/>
    <s v="Si"/>
    <m/>
    <s v="Se debe organizar una cita en la página 23, nombrar archivos"/>
    <m/>
    <m/>
    <m/>
  </r>
  <r>
    <x v="2"/>
    <x v="7"/>
    <n v="1014228680"/>
    <s v="William Eduardo Torres Gutierrez "/>
    <x v="4"/>
    <x v="2"/>
    <x v="2"/>
    <s v="Valbuena Gaona Martha Patricia"/>
    <s v="Implementación de inteligencia artificial para la actualización de zonas homogéneas físicas rurales en el Municipio de Monguí, Boyacá"/>
    <x v="12"/>
    <m/>
    <s v="Luz Andrea Sepúlveda"/>
    <s v="Si"/>
    <m/>
    <s v="Se debe organizar una cita en la página 23, nombrar archivos"/>
    <m/>
    <m/>
    <m/>
  </r>
  <r>
    <x v="1"/>
    <x v="8"/>
    <n v="75073612"/>
    <s v="John James Borbón Gómez"/>
    <x v="4"/>
    <x v="2"/>
    <x v="2"/>
    <s v="Barahona Vinasco José Fernando"/>
    <s v="Relación entre la gestión comercial, el marketing y la rentabilidad en pequeños porcicultores del Eje Cafetero de Colombia"/>
    <x v="12"/>
    <s v="Álvaro Agudelo"/>
    <s v="Maria Eugenia Nieto"/>
    <s v="Si"/>
    <m/>
    <m/>
    <m/>
    <m/>
    <m/>
  </r>
  <r>
    <x v="0"/>
    <x v="12"/>
    <n v="79731366"/>
    <s v="José Luis Jiménez Hurtado"/>
    <x v="4"/>
    <x v="2"/>
    <x v="2"/>
    <s v="Carmona Parra Jaime Alberto"/>
    <s v="Jóvenes, política y religión. Habitus y posicionamientos políticos de jóvenes vinculados a iglesias underground. La comunidad Cristiana Metalera Pantokrator"/>
    <x v="12"/>
    <s v="Álvaro Agudelo"/>
    <m/>
    <m/>
    <m/>
    <s v="Subio la plantilla del trabajo en letra muy pequeña Y no tiene la fecha de embargo / https://ridum.umanizales.edu.co/handle/20.500.12746/7418 "/>
    <m/>
    <m/>
    <m/>
  </r>
  <r>
    <x v="2"/>
    <x v="7"/>
    <n v="98137980"/>
    <s v="Carlos Alfredo Piscal López"/>
    <x v="4"/>
    <x v="2"/>
    <x v="2"/>
    <s v="Maria Camila Betancourth Ossa"/>
    <s v="Diseño e implementación de un SIG para optimizar y esquematizar la operación del Sistema de Alumbrado Público de Pasto SEPAL S.A."/>
    <x v="12"/>
    <m/>
    <s v="Luz Andrea Sepúlveda"/>
    <s v="Si"/>
    <m/>
    <s v="Solicita Reingreso Junio 6/2025 AlvaroA."/>
    <m/>
    <m/>
    <m/>
  </r>
  <r>
    <x v="2"/>
    <x v="7"/>
    <n v="1233190403"/>
    <s v="Maria Alejandra Melo Poveda"/>
    <x v="4"/>
    <x v="2"/>
    <x v="2"/>
    <s v="Maria Camila Betancourth Ossa"/>
    <s v="Diseño e implementación de un SIG para optimizar y esquematizar la operación del Sistema de Alumbrado Público de Pasto SEPAL S.A."/>
    <x v="12"/>
    <s v="Wilman Tangarife"/>
    <s v="Luz Andrea Sepúlveda"/>
    <s v="Si"/>
    <m/>
    <m/>
    <m/>
    <m/>
    <m/>
  </r>
  <r>
    <x v="2"/>
    <x v="7"/>
    <n v="1053813113"/>
    <s v="David Gallego García"/>
    <x v="4"/>
    <x v="2"/>
    <x v="2"/>
    <s v="Ana Maria Giraldo Patiño"/>
    <s v="Evaluación de la vulnerabilidad generada por el turismo en el páramo del Valle de los frailejones mediante el uso de SIG en el Municipio de Villamaría, Caldas"/>
    <x v="12"/>
    <s v="Álvaro Agudelo"/>
    <s v="Luz Andrea Sepúlveda"/>
    <s v="Sí"/>
    <m/>
    <m/>
    <m/>
    <m/>
    <m/>
  </r>
  <r>
    <x v="5"/>
    <x v="13"/>
    <n v="41927677"/>
    <s v="Olga Lucía Giraldo Correa "/>
    <x v="4"/>
    <x v="2"/>
    <x v="2"/>
    <s v="Luis Fernando Gómez Montoya"/>
    <s v="Estrategias Tributarias para Incentivar la Formalización Empresarial y Laboral en Colombia"/>
    <x v="13"/>
    <m/>
    <s v="Maria Eugenia Nieto"/>
    <s v="Si"/>
    <m/>
    <m/>
    <m/>
    <m/>
    <m/>
  </r>
  <r>
    <x v="5"/>
    <x v="13"/>
    <n v="1093227979"/>
    <s v="Sofia Giraldo Moreno"/>
    <x v="4"/>
    <x v="2"/>
    <x v="2"/>
    <s v="Rubiela Jiménez Aguirre"/>
    <s v="Estrategias Tributarias para Incentivar la Formalización Empresarial y Laboral en Colombia"/>
    <x v="13"/>
    <m/>
    <s v="Maria Eugenia Nieto"/>
    <s v="Si"/>
    <m/>
    <m/>
    <m/>
    <m/>
    <m/>
  </r>
  <r>
    <x v="5"/>
    <x v="8"/>
    <n v="1117505098"/>
    <s v="Leidy Juliet Artunduaga Gómez"/>
    <x v="4"/>
    <x v="2"/>
    <x v="2"/>
    <s v="José Fernando Barahona Vinasco"/>
    <s v="Percepciones y expectativas que se tienen del mercadeo como disciplina y como profesión en Florencia, Caquetá"/>
    <x v="13"/>
    <m/>
    <s v="Maria Eugenia Nieto"/>
    <s v="Si"/>
    <m/>
    <m/>
    <m/>
    <m/>
    <m/>
  </r>
  <r>
    <x v="5"/>
    <x v="14"/>
    <n v="1016058775"/>
    <s v="Juan Sebastian Romero Charry"/>
    <x v="2"/>
    <x v="2"/>
    <x v="2"/>
    <s v="Ofelia Palencia Fajardo"/>
    <s v="Determinantes de la Sostenibilidad Artesanal: Perspectivas Productivas, Comerciales y Culturales en el Sur del Huila"/>
    <x v="13"/>
    <m/>
    <s v="Maria Eugenia Nieto"/>
    <s v="Si"/>
    <m/>
    <m/>
    <m/>
    <m/>
    <m/>
  </r>
  <r>
    <x v="2"/>
    <x v="11"/>
    <m/>
    <s v="Oscar Raul Jaimes Rincon"/>
    <x v="4"/>
    <x v="2"/>
    <x v="2"/>
    <s v="María Piedad Marín Gutierrez"/>
    <s v="Determinantes Claves Para Incrementar el Consumo de Proteína de Pollo"/>
    <x v="13"/>
    <m/>
    <s v="Maria Eugenia Nieto"/>
    <s v="No"/>
    <m/>
    <s v="Formato de autorización sin firma. Falta numerar todos los capítulos (solo enumero las recomendaciones)"/>
    <m/>
    <m/>
    <m/>
  </r>
  <r>
    <x v="2"/>
    <x v="15"/>
    <m/>
    <s v="Juan Manuel Osorio Giraldo"/>
    <x v="4"/>
    <x v="2"/>
    <x v="2"/>
    <s v="Viviana Cardona Posada"/>
    <s v="Implementación de Inteligencia Artificial y Automatización de los procesos administrativos en la Facultad de Ciencia e Ingeniería, Universidad de Manizales "/>
    <x v="13"/>
    <m/>
    <s v="Harold Estiven García"/>
    <s v="Si"/>
    <m/>
    <m/>
    <m/>
    <m/>
    <m/>
  </r>
  <r>
    <x v="2"/>
    <x v="11"/>
    <m/>
    <s v="Yon Genis Aristizábal Trujillo"/>
    <x v="4"/>
    <x v="2"/>
    <x v="2"/>
    <s v="Viviana Cardona Posada"/>
    <s v="Implementación de Inteligencia Artificial y Automatización de los procesos administrativos en la Facultad de Ciencia e Ingeniería, Universidad de Manizales "/>
    <x v="13"/>
    <m/>
    <s v="Harold Estiven García"/>
    <s v="Si"/>
    <m/>
    <m/>
    <m/>
    <m/>
    <m/>
  </r>
  <r>
    <x v="2"/>
    <x v="11"/>
    <m/>
    <s v="Yuly Natalia Marrero Valencia"/>
    <x v="4"/>
    <x v="2"/>
    <x v="2"/>
    <s v="Viviana Cardona Posada"/>
    <s v="Implementación de Inteligencia Artificial y Automatización de los procesos administrativos en la Facultad de Ciencia e Ingeniería, Universidad de Manizales "/>
    <x v="13"/>
    <m/>
    <s v="Harold Estiven García"/>
    <s v="Si"/>
    <m/>
    <m/>
    <m/>
    <m/>
    <m/>
  </r>
  <r>
    <x v="5"/>
    <x v="1"/>
    <m/>
    <s v="Luisa Fernanda Castaño Orozco "/>
    <x v="4"/>
    <x v="2"/>
    <x v="2"/>
    <s v="Héctor Darío Betancur"/>
    <s v="incidencias en la conformidad constitucional por la aplicación del principio de reserva de ley en la creación de tributos a través de los planes nacionales de desarrollo en Colombia."/>
    <x v="14"/>
    <m/>
    <s v="Maria Eugenia Nieto"/>
    <s v="No"/>
    <m/>
    <s v="Falta el formato de autorización de publicación en el Repositorio. No utilizo la plantilla para entrega de trabajos de grado"/>
    <m/>
    <m/>
    <m/>
  </r>
  <r>
    <x v="5"/>
    <x v="1"/>
    <m/>
    <s v="Jorge Luis Bedoya"/>
    <x v="4"/>
    <x v="2"/>
    <x v="2"/>
    <s v="Héctor Darío Betancur"/>
    <s v="incidencias en la conformidad constitucional por la aplicación del principio de reserva de ley en la creación de tributos a través de los planes nacionales de desarrollo en Colombia."/>
    <x v="13"/>
    <m/>
    <s v="Maria Eugenia Nieto"/>
    <s v="No"/>
    <m/>
    <s v="Falta el formato de autorización de publicación en el Repositorio. No utilizo la plantilla para entrega de trabajos de grado"/>
    <m/>
    <m/>
    <m/>
  </r>
  <r>
    <x v="5"/>
    <x v="1"/>
    <n v="1076986918"/>
    <s v="DARWIN SUAZA HENDEZ"/>
    <x v="4"/>
    <x v="2"/>
    <x v="2"/>
    <s v="Julián Andrés Gómez Sánchez"/>
    <s v="“Análisis del perfil sociodemográfico y cultura tributaria en la comuna 2 de la ciudad de Neiva. Colombia”"/>
    <x v="13"/>
    <m/>
    <s v="Maria Eugenia Nieto"/>
    <s v="No"/>
    <m/>
    <s v="Falta el formato de autorización de publicación en el Repositorio. No utilizo la plantilla para entrega de Articulos"/>
    <m/>
    <m/>
    <m/>
  </r>
  <r>
    <x v="5"/>
    <x v="1"/>
    <n v="24852847"/>
    <s v="DIANA ANDREA RODRÍGUEZ LOAIZA"/>
    <x v="4"/>
    <x v="2"/>
    <x v="2"/>
    <s v="Jairo Serna Restrepo"/>
    <s v="&quot;Residencia fiscal en Colombia y el efecto de los convenios para evitar la doble tributación en nómada digitales&quot;"/>
    <x v="13"/>
    <m/>
    <s v="Maria Eugenia Nieto"/>
    <s v="No"/>
    <m/>
    <s v="Falta el formato de autorización de publicación en el Repositorio. No utilizo la plantilla para entrega de trabajos de grado"/>
    <m/>
    <m/>
    <m/>
  </r>
  <r>
    <x v="5"/>
    <x v="1"/>
    <n v="16774477"/>
    <s v="DIEGO FERNANDO ORTEGA GUERRERO"/>
    <x v="4"/>
    <x v="2"/>
    <x v="2"/>
    <s v="Jairo Serna Restrepo"/>
    <s v="&quot;Residencia fiscal en Colombia y el efecto de los convenios para evitar la doble tributación en nómada digitales&quot;"/>
    <x v="13"/>
    <m/>
    <s v="Maria Eugenia Nieto"/>
    <s v="No"/>
    <m/>
    <s v="Falta el formato de autorización de publicación en el Repositorio. No utilizo la plantilla para entrega de trabajos de grado"/>
    <m/>
    <m/>
    <m/>
  </r>
  <r>
    <x v="5"/>
    <x v="16"/>
    <n v="1053819273"/>
    <s v="Marcela Pedraza"/>
    <x v="4"/>
    <x v="2"/>
    <x v="2"/>
    <s v="Irma Soto Vallejo"/>
    <s v="“Condiciones de las Brechas del Capital Humano en el turismo sostenible del Eje Cafetero”"/>
    <x v="13"/>
    <m/>
    <s v="Maria Eugenia Nieto"/>
    <s v="No"/>
    <m/>
    <s v="Falta el formato de autorización de publicación en el Repositorio. No utilizo la plantilla para entrega de Articulos"/>
    <m/>
    <m/>
    <m/>
  </r>
  <r>
    <x v="0"/>
    <x v="12"/>
    <n v="65757226"/>
    <s v="Maria Victoria León Grimaldos"/>
    <x v="0"/>
    <x v="1"/>
    <x v="0"/>
    <s v="Andrés Klaus Runge"/>
    <s v="Los sentidos que otorga un grupo de niños, niñas adolescentes a las aceras de Ibagué "/>
    <x v="13"/>
    <m/>
    <m/>
    <m/>
    <m/>
    <m/>
    <m/>
    <m/>
    <m/>
  </r>
  <r>
    <x v="5"/>
    <x v="16"/>
    <n v="36311924"/>
    <s v="Diana Marcela Molina Argote"/>
    <x v="4"/>
    <x v="2"/>
    <x v="2"/>
    <s v="Ofelia Palencia Fajardo"/>
    <s v="Turismo patrimonial como estrategia de desarrollo local: un análisis socioeconómico de su incidencia en el municipio de San Agustín (Colombia)"/>
    <x v="13"/>
    <m/>
    <s v="Maria Eugenia Nieto"/>
    <s v="Si"/>
    <m/>
    <m/>
    <m/>
    <m/>
    <m/>
  </r>
  <r>
    <x v="5"/>
    <x v="5"/>
    <m/>
    <s v="CARLOS MARIO FLOREZ VELASQUEZ"/>
    <x v="4"/>
    <x v="2"/>
    <x v="2"/>
    <s v="Carlos Andrés Osorio Toro"/>
    <s v="&quot;Análisis de las diferencias en las prácticas organizacionales relacionadas con el mercadeo antes y después de pandemia en las empresas colombianas que implementaron procesos de transformación digital como herramienta estratégica&quot;."/>
    <x v="13"/>
    <m/>
    <s v="Maria Eugenia Nieto"/>
    <s v="Si"/>
    <m/>
    <s v="Tiene paz y salvo desde marzo (OK PYS APROB.MAR/06/2025.AAL)"/>
    <m/>
    <m/>
    <m/>
  </r>
  <r>
    <x v="5"/>
    <x v="17"/>
    <m/>
    <s v="Lina María Fajardo Rentería"/>
    <x v="4"/>
    <x v="2"/>
    <x v="2"/>
    <s v="Julian Andres Gomez Sanchez"/>
    <s v="Indicadores contables para la medicion del impacto ambiental en las empresas de turismo de Manizales"/>
    <x v="13"/>
    <m/>
    <s v="Maria Eugenia Nieto"/>
    <s v="No"/>
    <m/>
    <s v="Falta el formato de autorización de publicación en el Repositorio. No utilizo la plantilla para entrega de trabajos de grado"/>
    <m/>
    <m/>
    <m/>
  </r>
  <r>
    <x v="5"/>
    <x v="17"/>
    <m/>
    <s v="Margorieth Gonzalez Ramos"/>
    <x v="4"/>
    <x v="2"/>
    <x v="2"/>
    <s v="Julian Andres Gomez Sanchez"/>
    <s v="Indicadores contables para la medicion del impacto ambiental en las empresas de turismo de Manizales"/>
    <x v="13"/>
    <m/>
    <s v="Maria Eugenia Nieto"/>
    <s v="No"/>
    <m/>
    <s v="Falta el formato de autorización de publicación en el Repositorio. No utilizo la plantilla para entrega de trabajos de grado"/>
    <m/>
    <m/>
    <m/>
  </r>
  <r>
    <x v="5"/>
    <x v="17"/>
    <m/>
    <s v="Diana Milena Ríos Montoya"/>
    <x v="4"/>
    <x v="2"/>
    <x v="2"/>
    <s v="Julian Andres Gomez Sanchez"/>
    <s v="Indicadores contables para la medicion del impacto ambiental en las empresas de turismo de Manizales"/>
    <x v="13"/>
    <m/>
    <s v="Maria Eugenia Nieto"/>
    <s v="No"/>
    <m/>
    <s v="Falta el formato de autorización de publicación en el Repositorio. No utilizo la plantilla para entrega de trabajos de grado"/>
    <m/>
    <m/>
    <m/>
  </r>
  <r>
    <x v="5"/>
    <x v="8"/>
    <m/>
    <s v="Lina María Arbeláez Rendón"/>
    <x v="4"/>
    <x v="2"/>
    <x v="2"/>
    <s v="Marleny Cardona Acevedo"/>
    <s v="&quot;Emprendimientos Femeninos Sostenibles y Escalables en Subsector del Cacao en Manizales &quot;."/>
    <x v="13"/>
    <m/>
    <s v="Maria Eugenia Nieto"/>
    <s v="No"/>
    <m/>
    <s v="Falta el formato de autorización de publicación en el Repositorio. No utilizo la plantilla para entrega de trabajos de grado"/>
    <m/>
    <m/>
    <m/>
  </r>
  <r>
    <x v="2"/>
    <x v="7"/>
    <n v="7179342"/>
    <s v="Iván Darío Rodríguez Otalora "/>
    <x v="4"/>
    <x v="2"/>
    <x v="0"/>
    <m/>
    <s v="Análisis hidrológico y fluvial del caño Picuño mediante SIG para mitigación de inundaciones en la vereda la Isla Guamal, Meta"/>
    <x v="13"/>
    <s v="Wilman Tangarife"/>
    <s v="Luz Andrea Sepúlveda"/>
    <s v="Si"/>
    <m/>
    <m/>
    <m/>
    <m/>
    <m/>
  </r>
  <r>
    <x v="2"/>
    <x v="7"/>
    <n v="1121870920"/>
    <s v="Jaiber Augusto Morales Velásquez "/>
    <x v="4"/>
    <x v="2"/>
    <x v="0"/>
    <m/>
    <s v="Análisis hidrológico y fluvial del caño Picuño mediante SIG para mitigación de inundaciones en la vereda la Isla Guamal, Meta"/>
    <x v="13"/>
    <s v="Wilman Tangarife"/>
    <s v="Luz Andrea Sepúlveda"/>
    <s v="Si"/>
    <m/>
    <m/>
    <m/>
    <m/>
    <m/>
  </r>
  <r>
    <x v="2"/>
    <x v="7"/>
    <m/>
    <s v="Yerson Andrey Velásquez González "/>
    <x v="4"/>
    <x v="2"/>
    <x v="2"/>
    <s v="Carlos Marcelo Jaramillo Echeverry"/>
    <s v="Modelación hidrogeológica tridimensional estática basada en unidades hidroestratigráficas con Leapfrog Geo en la subcuenca de Dosquebradas, Risaralda "/>
    <x v="13"/>
    <m/>
    <s v="Harold Estiven García"/>
    <s v="Si"/>
    <m/>
    <m/>
    <m/>
    <m/>
    <m/>
  </r>
  <r>
    <x v="0"/>
    <x v="18"/>
    <m/>
    <s v="Laura Isabel Urrego Sandoval"/>
    <x v="4"/>
    <x v="2"/>
    <x v="2"/>
    <s v="Alejandro Londoño Valencia"/>
    <s v="Experiencia de aplicación de adaptación de un protocolo de Terapia Dialéctica Conductual en dos pacientes con Trastorno Límite de personalidad"/>
    <x v="13"/>
    <m/>
    <s v="Harold Estiven García"/>
    <s v="Si"/>
    <m/>
    <m/>
    <m/>
    <m/>
    <m/>
  </r>
  <r>
    <x v="0"/>
    <x v="19"/>
    <m/>
    <s v="María del Pilar Calderon Villegas"/>
    <x v="4"/>
    <x v="2"/>
    <x v="2"/>
    <s v="Alejandro Londoño Valencia"/>
    <s v="Experiencia de aplicación de adaptación de un protocolo de Terapia Dialéctica Conductual en dos pacientes con Trastorno Límite de personalidad"/>
    <x v="13"/>
    <m/>
    <s v="Harold Estiven García"/>
    <s v="Si"/>
    <m/>
    <m/>
    <m/>
    <m/>
    <m/>
  </r>
  <r>
    <x v="0"/>
    <x v="19"/>
    <n v="1116274967"/>
    <s v="Juan Camilo Aguirre Rivera "/>
    <x v="4"/>
    <x v="2"/>
    <x v="2"/>
    <s v="Alejandra Dalila Rico Molano "/>
    <s v="Modelo curricular asistido por inteligencia artifical generativa en el marco de la ciudadanía digital"/>
    <x v="13"/>
    <m/>
    <s v="Juan Pablo Charry"/>
    <s v="Si"/>
    <m/>
    <m/>
    <m/>
    <m/>
    <m/>
  </r>
  <r>
    <x v="0"/>
    <x v="20"/>
    <n v="1060356321"/>
    <s v="MIGUEL ÁNGELO BALLESTEROS VIAFARA. "/>
    <x v="4"/>
    <x v="2"/>
    <x v="0"/>
    <s v="WILMAN ANTONIO RODRÍGUEZ "/>
    <s v="FORMAR PARA LA CIUDADANÍA: DESARROLLO DE LAS COMPETENCIAS CIUDADANAS DESDE LA FILOSOFÍA PARA NIÑOS EN UN CONTEXTO RURAL. ESTUDIO DE CASO EN LA INSTITUCIÓN EDUCATIVA MARI LÓPEZ BELLAVISTA, EN EL MUNICIPIO DE SUAREZ - CAUCA "/>
    <x v="13"/>
    <m/>
    <s v="Juan Pablo Charry"/>
    <s v="Si"/>
    <m/>
    <m/>
    <m/>
    <m/>
    <m/>
  </r>
  <r>
    <x v="2"/>
    <x v="11"/>
    <n v="1002654894"/>
    <s v="Sayan Camilo Mosquera Román"/>
    <x v="4"/>
    <x v="2"/>
    <x v="2"/>
    <s v="Viviana Cardona Posada"/>
    <s v="Implementación de un asistente virtual para la evaluación docente en la Universidad de Manizales basado en Microsoft Azure y procesamiento de PDF"/>
    <x v="12"/>
    <m/>
    <s v="Harold Estiven García"/>
    <s v="Si"/>
    <m/>
    <s v="Revisado por Alvaro Agudelo"/>
    <m/>
    <m/>
    <m/>
  </r>
  <r>
    <x v="2"/>
    <x v="11"/>
    <n v="1002619297"/>
    <s v="Eilyn Dayhanna Buitrago Duque"/>
    <x v="4"/>
    <x v="2"/>
    <x v="2"/>
    <s v="Viviana Cardona Posada"/>
    <s v="Implementación de un asistente virtual para la evaluación docente en la Universidad de Manizales basado en Microsoft Azure y procesamiento de PDF"/>
    <x v="12"/>
    <m/>
    <s v="Harold Estiven García"/>
    <s v="Si"/>
    <m/>
    <s v="Revisado por Alvaro Agudelo"/>
    <m/>
    <m/>
    <m/>
  </r>
  <r>
    <x v="2"/>
    <x v="11"/>
    <n v="1053848609"/>
    <s v="Michael David Herrada Castañeda"/>
    <x v="4"/>
    <x v="2"/>
    <x v="2"/>
    <s v="Viviana Cardona Posada"/>
    <s v="Implementación de un asistente virtual para la evaluación docente en la Universidad de Manizales basado en Microsoft Azure y procesamiento de PDF"/>
    <x v="12"/>
    <m/>
    <s v="Harold Estiven García"/>
    <s v="Si"/>
    <m/>
    <s v="Revisado por Alvaro Agudelo"/>
    <m/>
    <m/>
    <m/>
  </r>
  <r>
    <x v="2"/>
    <x v="7"/>
    <m/>
    <s v="Laura Orozco Santafé"/>
    <x v="4"/>
    <x v="2"/>
    <x v="2"/>
    <m/>
    <s v="Análisis de susceptibilidad a movimientos de masa en la zona Arme de Chinchiná utilizando herramientas"/>
    <x v="13"/>
    <s v="Wilman Tangarife"/>
    <s v="Luz Andrea Sepúlveda"/>
    <s v="Si"/>
    <m/>
    <s v="METADATOS CONFIDENCIALES ( NO DEBE QUEDAR LOS METADATOS PÚBLICOS)"/>
    <m/>
    <m/>
    <m/>
  </r>
  <r>
    <x v="2"/>
    <x v="7"/>
    <m/>
    <s v="Andrés Felipe Ríos Correa "/>
    <x v="4"/>
    <x v="2"/>
    <x v="2"/>
    <m/>
    <s v="Análisis de susceptibilidad a movimientos de masa en la zona Arme de Chinchiná utilizando herramientas"/>
    <x v="13"/>
    <s v="Wilman Tangarife"/>
    <s v="Luz Andrea Sepúlveda"/>
    <s v="Si"/>
    <m/>
    <s v="METADATOS CONFIDENCIALES ( NO DEBE QUEDAR LOS METADATOS PÚBLICOS)"/>
    <m/>
    <m/>
    <m/>
  </r>
  <r>
    <x v="0"/>
    <x v="12"/>
    <m/>
    <s v="Julián David Castañeda Muñoz "/>
    <x v="4"/>
    <x v="2"/>
    <x v="2"/>
    <s v="Tutora: María Camila Ospina Alvarado _x000a_Cotutora: Martha Cecilia Lozano Ardila "/>
    <s v="Somos fuente orgánica del conjunto social. Despliegues de la subjetividad política en activistas presentes en redes sociales "/>
    <x v="13"/>
    <m/>
    <s v="Juan Pablo Charry"/>
    <s v="No"/>
    <m/>
    <s v="Falta cargar tesis en word, formato de autorización, acta de sustentación "/>
    <m/>
    <m/>
    <m/>
  </r>
  <r>
    <x v="0"/>
    <x v="0"/>
    <m/>
    <s v="Andrés Mauricio Cardona Aguirre"/>
    <x v="4"/>
    <x v="2"/>
    <x v="2"/>
    <s v="Juan Bernardo Zuluaga Valencia"/>
    <s v="Función ejecutiva y teoría de la mente en niños con trastorno del espectro autista"/>
    <x v="13"/>
    <m/>
    <s v="Juan Pablo Charry"/>
    <s v="No"/>
    <m/>
    <s v="Corregir algunos aspectos del formato APA"/>
    <m/>
    <m/>
    <m/>
  </r>
  <r>
    <x v="2"/>
    <x v="11"/>
    <n v="1053865213"/>
    <s v="Juan Manuel Osorio Giraldo "/>
    <x v="4"/>
    <x v="2"/>
    <x v="1"/>
    <s v="Viviana Cardona Posada "/>
    <m/>
    <x v="13"/>
    <s v="Wilman Tangarife"/>
    <m/>
    <m/>
    <m/>
    <s v="Título: subtítulo:  Falta"/>
    <m/>
    <m/>
    <m/>
  </r>
  <r>
    <x v="1"/>
    <x v="21"/>
    <n v="1005570073"/>
    <s v="Greisy Lanet Mejía Montes "/>
    <x v="2"/>
    <x v="2"/>
    <x v="0"/>
    <s v="Juan Felipe Castellanos Martínez "/>
    <s v=" El rol del acceso a los servicios financieros y su influencia en el desarrollo económico "/>
    <x v="13"/>
    <s v="Wilman Tangarife"/>
    <s v="Luz Andrea Sepúlveda"/>
    <s v="Si"/>
    <m/>
    <m/>
    <m/>
    <m/>
    <m/>
  </r>
  <r>
    <x v="0"/>
    <x v="6"/>
    <n v="25480527"/>
    <s v="Clodet Cerón Ordoñez"/>
    <x v="4"/>
    <x v="2"/>
    <x v="3"/>
    <s v=" YENNY ANDREA GUTIÉRREZ TORO "/>
    <s v="Experiencias de aprendizaje situado que favorecen el desarrollo del pensamiento lógico – etnomatemático "/>
    <x v="13"/>
    <s v="Wilman Tangarife"/>
    <s v="Luz Andrea Sepúlveda"/>
    <s v="Si"/>
    <m/>
    <m/>
    <m/>
    <m/>
    <m/>
  </r>
  <r>
    <x v="0"/>
    <x v="6"/>
    <n v="34328764"/>
    <s v="Velcy Johana Cerón Ordoñez"/>
    <x v="4"/>
    <x v="2"/>
    <x v="3"/>
    <s v=" YENNY ANDREA GUTIÉRREZ TORO "/>
    <s v="Experiencias de aprendizaje situado que favorecen el desarrollo del pensamiento lógico – etnomatemático "/>
    <x v="13"/>
    <s v="Wilman Tangarife"/>
    <s v="Luz Andrea Sepúlveda"/>
    <s v="Si"/>
    <m/>
    <m/>
    <m/>
    <m/>
    <m/>
  </r>
  <r>
    <x v="0"/>
    <x v="6"/>
    <n v="1061737473"/>
    <s v=" Edier Saul Prieto Moncayo"/>
    <x v="4"/>
    <x v="2"/>
    <x v="3"/>
    <s v=" YENNY ANDREA GUTIÉRREZ TORO "/>
    <s v="Experiencias de aprendizaje situado que favorecen el desarrollo del pensamiento lógico – etnomatemático "/>
    <x v="13"/>
    <s v="Wilman Tangarife"/>
    <s v="Luz Andrea Sepúlveda"/>
    <s v="Si"/>
    <m/>
    <m/>
    <m/>
    <m/>
    <m/>
  </r>
  <r>
    <x v="0"/>
    <x v="12"/>
    <n v="79731366"/>
    <s v="Jose Luis Jimenez Hurtado"/>
    <x v="4"/>
    <x v="2"/>
    <x v="1"/>
    <s v="Jaime Alberto Carmona Parra"/>
    <s v="Jóvenes, política y religión. Habitus y posicionamientos políticos de jóvenes vinculados a iglesias underground. La comunidad Cristiana Metalera Pantokrator"/>
    <x v="13"/>
    <m/>
    <s v="Juan Pablo Charry"/>
    <s v="Si"/>
    <m/>
    <m/>
    <m/>
    <m/>
    <m/>
  </r>
  <r>
    <x v="2"/>
    <x v="7"/>
    <n v="1052408139"/>
    <s v="Nicolás Sebastián Becerra Guerrero"/>
    <x v="1"/>
    <x v="2"/>
    <x v="2"/>
    <s v="Ana María  Giraldo Patiño"/>
    <s v="Comparación de índices espectrales y cambios de cobertura pre y post incendio en octubre 2023, reserva “El Viche”, Tesalia-Huila."/>
    <x v="13"/>
    <s v="Wilman Tangarife"/>
    <s v="Luz Andrea Sepúlveda"/>
    <s v="Si"/>
    <m/>
    <m/>
    <m/>
    <m/>
    <m/>
  </r>
  <r>
    <x v="2"/>
    <x v="7"/>
    <n v="1081395661"/>
    <s v="Diego Atilano Trujillo Torres"/>
    <x v="1"/>
    <x v="2"/>
    <x v="2"/>
    <s v="Ana María  Giraldo Patiño"/>
    <s v="Comparación de índices espectrales y cambios de cobertura pre y post incendio en octubre 2023, reserva “El Viche”, Tesalia-Huila."/>
    <x v="13"/>
    <s v="Wilman Tangarife"/>
    <s v="Luz Andrea Sepúlveda"/>
    <s v="Si"/>
    <m/>
    <m/>
    <m/>
    <m/>
    <m/>
  </r>
  <r>
    <x v="2"/>
    <x v="7"/>
    <n v="1053850322"/>
    <s v="Laura Lucia Castro Ocampo"/>
    <x v="2"/>
    <x v="0"/>
    <x v="0"/>
    <s v="Ana María  Giraldo Patiño"/>
    <s v="Análisis multitemporal de la cárcava del Alto Tablazo mediante el uso de imágenes satelitales en el municipio de Manizales, Caldas"/>
    <x v="13"/>
    <s v="Wilman Tangarife"/>
    <s v="Luz Andrea Sepúlveda"/>
    <s v="Si"/>
    <m/>
    <m/>
    <m/>
    <m/>
    <m/>
  </r>
  <r>
    <x v="2"/>
    <x v="7"/>
    <n v="1087561999"/>
    <s v="Diana Lorena Vélez Ramírez"/>
    <x v="2"/>
    <x v="0"/>
    <x v="0"/>
    <s v="Ana María  Giraldo Patiño"/>
    <s v="Análisis multitemporal de la cárcava del Alto Tablazo mediante el uso de imágenes satelitales en el municipio de Manizales, Caldas"/>
    <x v="13"/>
    <s v="Wilman Tangarife"/>
    <s v="Luz Andrea Sepúlveda"/>
    <s v="Si"/>
    <m/>
    <m/>
    <m/>
    <m/>
    <m/>
  </r>
  <r>
    <x v="1"/>
    <x v="2"/>
    <n v="52430404"/>
    <s v="Emma Sofía Corredor Camargo"/>
    <x v="4"/>
    <x v="2"/>
    <x v="2"/>
    <s v="Diego Hernández García"/>
    <m/>
    <x v="13"/>
    <s v="Wilman Tangarife"/>
    <m/>
    <m/>
    <m/>
    <s v="Falta Inicio embargo: Título: subtítulo: "/>
    <m/>
    <m/>
    <m/>
  </r>
  <r>
    <x v="1"/>
    <x v="10"/>
    <m/>
    <s v="Luis Carlos Villanueva Ospina"/>
    <x v="4"/>
    <x v="2"/>
    <x v="2"/>
    <s v="Juan Carlos Granobles Torres"/>
    <s v="Contribución de la política de formalización minera en Colombia a la consolidación de los objetivos del desarrollo sostenible a partir del caso del proyecto de Mineros La María S.A.S. en San Roque Antioquia "/>
    <x v="13"/>
    <s v="Wilman Tangarife"/>
    <s v="Harold Estiven García"/>
    <s v="Si"/>
    <m/>
    <m/>
    <m/>
    <m/>
    <m/>
  </r>
  <r>
    <x v="0"/>
    <x v="6"/>
    <m/>
    <s v="Yaby Daneyi Imbachi Molano"/>
    <x v="4"/>
    <x v="2"/>
    <x v="2"/>
    <s v="Yenni Andrea Gutierrez Toro"/>
    <s v="ESTRATEGIAS METACOGNITIVAS PARA LA POTENCIACIÓN DE AULAS INCLUSIVAS "/>
    <x v="15"/>
    <m/>
    <s v="Harold Estiven García"/>
    <s v="Si"/>
    <m/>
    <m/>
    <m/>
    <m/>
    <m/>
  </r>
  <r>
    <x v="0"/>
    <x v="6"/>
    <m/>
    <s v="Diego Fernando Rodriguez "/>
    <x v="4"/>
    <x v="2"/>
    <x v="2"/>
    <s v="Yenni Andrea Gutierrez Toro"/>
    <s v="ESTRATEGIAS METACOGNITIVAS PARA LA POTENCIACIÓN DE AULAS INCLUSIVAS "/>
    <x v="15"/>
    <m/>
    <s v="Harold Estiven García"/>
    <s v="Si"/>
    <m/>
    <m/>
    <m/>
    <m/>
    <m/>
  </r>
  <r>
    <x v="2"/>
    <x v="7"/>
    <m/>
    <s v="Angie Yorleni Gordillo Sánchez"/>
    <x v="1"/>
    <x v="2"/>
    <x v="2"/>
    <s v="María Camila Betancourth Ossa"/>
    <s v="Desarrollo de un sistema de información geográfica para optimizar análisis espaciales en la secretaría de planeación de San Martín, Meta"/>
    <x v="15"/>
    <s v="Wilman Tangarife"/>
    <s v="Luz Andrea Sepúlveda"/>
    <s v="Si"/>
    <m/>
    <m/>
    <m/>
    <m/>
    <m/>
  </r>
  <r>
    <x v="2"/>
    <x v="7"/>
    <m/>
    <s v="Julián Camilo Saray Montenegro"/>
    <x v="1"/>
    <x v="2"/>
    <x v="2"/>
    <s v="María Camila Betancourth Ossa"/>
    <s v="Desarrollo de un sistema de información geográfica para optimizar análisis espaciales en la secretaría de planeación de San Martín, Meta"/>
    <x v="15"/>
    <s v="Wilman Tangarife"/>
    <s v="Luz Andrea Sepúlveda"/>
    <s v="Si"/>
    <m/>
    <m/>
    <m/>
    <m/>
    <m/>
  </r>
  <r>
    <x v="2"/>
    <x v="7"/>
    <m/>
    <s v="Christian Jhair Abella Bernal "/>
    <x v="4"/>
    <x v="2"/>
    <x v="2"/>
    <s v="Vladimir Henao Céspedes"/>
    <s v="Imágenes satelitales SAR para la identificación de cambios en cuerpos de agua durante inundaciones costeras en la ciudad de Cartagena."/>
    <x v="15"/>
    <m/>
    <s v="Harold Estiven García"/>
    <s v="Si"/>
    <m/>
    <m/>
    <m/>
    <m/>
    <m/>
  </r>
  <r>
    <x v="2"/>
    <x v="7"/>
    <m/>
    <s v="Fabio Neira Alzate "/>
    <x v="4"/>
    <x v="2"/>
    <x v="2"/>
    <s v="Vladimir Henao Céspedes"/>
    <s v="Imágenes satelitales SAR para la identificación de cambios en cuerpos de agua durante inundaciones costeras en la ciudad de Cartagena."/>
    <x v="15"/>
    <m/>
    <s v="Harold Estiven García"/>
    <s v="Si"/>
    <m/>
    <m/>
    <m/>
    <m/>
    <m/>
  </r>
  <r>
    <x v="2"/>
    <x v="7"/>
    <m/>
    <s v="Diego Fernando Cadena Vélez "/>
    <x v="4"/>
    <x v="2"/>
    <x v="2"/>
    <s v="Vladimir Henao Céspedes"/>
    <s v="Imágenes satelitales SAR para la identificación de cambios en cuerpos de agua durante inundaciones costeras en la ciudad de Cartagena."/>
    <x v="15"/>
    <m/>
    <s v="Harold Estiven García"/>
    <s v="Si"/>
    <m/>
    <m/>
    <m/>
    <m/>
    <m/>
  </r>
  <r>
    <x v="2"/>
    <x v="7"/>
    <m/>
    <s v="Rubén Darío Torres Sánchez"/>
    <x v="4"/>
    <x v="2"/>
    <x v="2"/>
    <s v="Alberto Boada Rodríguez"/>
    <s v="Análisis multitemporal 2019 - 2024 de la deforestación en el Distrito Regional de Manejo Integrado Complejo Cenagoso de La Zapatosa, caso de estudio: municipio de Chimichagua - Cesar"/>
    <x v="15"/>
    <m/>
    <s v="Luz Andrea Sepúlveda"/>
    <s v="Si"/>
    <m/>
    <m/>
    <m/>
    <m/>
    <m/>
  </r>
  <r>
    <x v="1"/>
    <x v="1"/>
    <m/>
    <s v="JAIRO ALEXANDER ARROYAVE MIRANDA"/>
    <x v="4"/>
    <x v="2"/>
    <x v="2"/>
    <s v="GOMEZ SANCHES, JULIAN ANDRES"/>
    <s v="GUÍA ESENCIAL SOBRE EL BENEFICIO TRIBUTARIO Y EL RÉGIMEN SIMPLE DE TRIBUTACIÓN (R.S.T) EN COLOMBIA."/>
    <x v="15"/>
    <m/>
    <s v="Maria Eugenia Nieto"/>
    <s v="Si"/>
    <m/>
    <s v="Ya se le habia entregado paz y salvo, sin embargo no entrego el formato de  Autorizacion de publicación en el Ridum (OK PYS APROB.MAR/07/2025.AAL)"/>
    <m/>
    <m/>
    <m/>
  </r>
  <r>
    <x v="1"/>
    <x v="2"/>
    <m/>
    <s v=" Carlos Martin Quintero Garrido"/>
    <x v="4"/>
    <x v="2"/>
    <x v="2"/>
    <s v="Vargas Marín, Luis Alberto"/>
    <s v="Evaluación de la sostenibilidad del proyecto UFI 7.2 en el Golfo del Morrosquillo, Colombia: análisis de impactos y estratégias de mitigación"/>
    <x v="15"/>
    <m/>
    <s v="Maria Eugenia Nieto"/>
    <s v="Si"/>
    <m/>
    <s v="Ya se había entregado paz y salvo (PLANTILLAS RIDUM OK. OK PYS APROB.MAYO/24/2025.AAL.)"/>
    <m/>
    <m/>
    <m/>
  </r>
  <r>
    <x v="1"/>
    <x v="1"/>
    <m/>
    <s v="Rubén Arlex Pineda Ocampo"/>
    <x v="4"/>
    <x v="2"/>
    <x v="2"/>
    <s v="Vargas Marín, Luis Alberto"/>
    <s v="Evaluación de la sostenibilidad del proyecto UFI 7.2 en el Golfo del Morrosquillo, Colombia: análisis de impactos y estratégias de mitigación"/>
    <x v="15"/>
    <m/>
    <s v="Maria Eugenia Nieto"/>
    <s v="Si"/>
    <m/>
    <s v="Ya se le entregó paz y salvo (RIDUM OK.OK PYS APROB.FEB/26/2025.AAL.)"/>
    <m/>
    <m/>
    <m/>
  </r>
  <r>
    <x v="1"/>
    <x v="2"/>
    <n v="52430404"/>
    <s v="EMMA  SOFIA CORREDOR CAMARGO"/>
    <x v="4"/>
    <x v="2"/>
    <x v="2"/>
    <s v="Edwin Manuel Páez Barón, , Diego Hernández García"/>
    <s v="Relación entre parámetros productivos y huellas ambientales en ganadería de leche en ecosistema alto andino"/>
    <x v="15"/>
    <m/>
    <s v="Maria Eugenia Nieto"/>
    <s v="Si"/>
    <m/>
    <m/>
    <m/>
    <m/>
    <m/>
  </r>
  <r>
    <x v="1"/>
    <x v="2"/>
    <n v="1113664174"/>
    <s v="Liseth Stefania Lara Quiñones"/>
    <x v="4"/>
    <x v="2"/>
    <x v="2"/>
    <s v="Pineda Murillo, Rogelio"/>
    <s v="El ordenamiento marino-costero en Colombia como apuesta al desarrollo sostenible. Estudio de caso del municipio de Tumaco-Nariño"/>
    <x v="15"/>
    <m/>
    <s v="Maria Eugenia Nieto"/>
    <s v="Si"/>
    <m/>
    <m/>
    <m/>
    <m/>
    <m/>
  </r>
  <r>
    <x v="2"/>
    <x v="7"/>
    <n v="1118557352"/>
    <s v="Angie Paola Umaña Orjuela"/>
    <x v="2"/>
    <x v="2"/>
    <x v="2"/>
    <s v="Hector Andres Mora Bedoya"/>
    <s v="Gemelo digital subestación eléctrica"/>
    <x v="15"/>
    <m/>
    <s v="Luz Andrea Sepúlveda"/>
    <s v="Si"/>
    <m/>
    <m/>
    <m/>
    <m/>
    <m/>
  </r>
  <r>
    <x v="2"/>
    <x v="7"/>
    <n v="1143259357"/>
    <s v="Olinda Marcela Uribe Pinzón"/>
    <x v="2"/>
    <x v="2"/>
    <x v="2"/>
    <s v="Hector Andres Mora Bedoya"/>
    <s v="Gemelo digital subestación eléctrica"/>
    <x v="15"/>
    <m/>
    <s v="Luz Andrea Sepúlveda"/>
    <s v="Si"/>
    <m/>
    <m/>
    <m/>
    <m/>
    <m/>
  </r>
  <r>
    <x v="2"/>
    <x v="7"/>
    <n v="86048758"/>
    <s v="Hidelber Antonio Correa Holguín"/>
    <x v="2"/>
    <x v="2"/>
    <x v="2"/>
    <s v="Hector Andres Mora Bedoya"/>
    <s v="Gemelo digital subestación eléctrica"/>
    <x v="15"/>
    <m/>
    <s v="Luz Andrea Sepúlveda"/>
    <s v="Si"/>
    <m/>
    <m/>
    <m/>
    <m/>
    <m/>
  </r>
  <r>
    <x v="2"/>
    <x v="7"/>
    <n v="1140837616"/>
    <s v="Kayra Jeliana Amador Martínez"/>
    <x v="2"/>
    <x v="2"/>
    <x v="2"/>
    <s v="Hector Andres Mora Bedoya"/>
    <s v="Gemelo digital subestación eléctrica"/>
    <x v="15"/>
    <m/>
    <s v="Luz Andrea Sepúlveda"/>
    <s v="Si"/>
    <m/>
    <m/>
    <m/>
    <m/>
    <m/>
  </r>
  <r>
    <x v="2"/>
    <x v="7"/>
    <n v="1096951048"/>
    <s v="Edgar Mauricio Delgado Pérez"/>
    <x v="2"/>
    <x v="2"/>
    <x v="2"/>
    <s v="Hector Andres Mora Bedoya"/>
    <s v="Gemelo digital subestación eléctrica"/>
    <x v="15"/>
    <m/>
    <s v="Luz Andrea Sepúlveda"/>
    <s v="Si"/>
    <m/>
    <m/>
    <m/>
    <m/>
    <m/>
  </r>
  <r>
    <x v="0"/>
    <x v="4"/>
    <n v="1038131819"/>
    <s v="Carolina Marín Romero"/>
    <x v="1"/>
    <x v="2"/>
    <x v="0"/>
    <s v="Claudia Bionet Gómez Alzáte"/>
    <s v="Comunicación asertiva, empatía y resolución de conflictos para estudiantes virtuales de educación superior."/>
    <x v="15"/>
    <m/>
    <s v="Juan Pablo Charry"/>
    <s v="Si"/>
    <m/>
    <m/>
    <m/>
    <m/>
    <m/>
  </r>
  <r>
    <x v="0"/>
    <x v="4"/>
    <n v="1059810800"/>
    <s v="Monica María Loaiza Cárdenas"/>
    <x v="1"/>
    <x v="2"/>
    <x v="0"/>
    <s v="Claudia Bionet Gómez Alzáte"/>
    <s v="Comunicación asertiva, empatía y resolución de conflictos para estudiantes virtuales de educación superior."/>
    <x v="15"/>
    <m/>
    <s v="Juan Pablo Charry"/>
    <s v="Si"/>
    <m/>
    <m/>
    <m/>
    <m/>
    <m/>
  </r>
  <r>
    <x v="0"/>
    <x v="4"/>
    <n v="1059810800"/>
    <s v="Mónica Loaiza"/>
    <x v="0"/>
    <x v="1"/>
    <x v="0"/>
    <s v="Claudia Gómez "/>
    <s v="Comunicación asertiva, empatía y resolución de conflictos para estudiantes virtuales de educación superior."/>
    <x v="15"/>
    <m/>
    <m/>
    <m/>
    <m/>
    <m/>
    <m/>
    <m/>
    <m/>
  </r>
  <r>
    <x v="1"/>
    <x v="10"/>
    <n v="1079177948"/>
    <s v="Carlos Andrés Silva Ortiz"/>
    <x v="4"/>
    <x v="2"/>
    <x v="2"/>
    <m/>
    <s v="Evaluación de la factibilidad técnica y socioeconómica de un sistema fotovoltaico para la vereda la Polonia, Villavieja – Huila"/>
    <x v="16"/>
    <s v="Wilman Tangarife"/>
    <s v="Maria Eugenia Nieto"/>
    <s v="Si"/>
    <m/>
    <m/>
    <m/>
    <m/>
    <m/>
  </r>
  <r>
    <x v="1"/>
    <x v="22"/>
    <m/>
    <s v="Juan Diego López Ospina"/>
    <x v="4"/>
    <x v="2"/>
    <x v="2"/>
    <m/>
    <s v="Posicionamiento por medio del marketing digital en las empresas B2B"/>
    <x v="16"/>
    <m/>
    <s v="Maria Eugenia Nieto"/>
    <s v="Si"/>
    <m/>
    <s v="OK PYS APROB.FEB/24/2025.AAL.(EL ACTA REPOSA EN REGISTRO).subio el pdf pero falta el formato de autorización  y el acta de grado."/>
    <m/>
    <m/>
    <m/>
  </r>
  <r>
    <x v="1"/>
    <x v="23"/>
    <m/>
    <s v="Francisco Antonio Escobar Patiño"/>
    <x v="2"/>
    <x v="2"/>
    <x v="2"/>
    <s v="Walter Murillo"/>
    <s v="mpacto económico-ambiental frente a la producción de asfalto calidad 60/70 en la gerencia refinería de Barrancabermeja GRB"/>
    <x v="16"/>
    <s v="Wilman Tangarife"/>
    <s v="Maria Eugenia Nieto"/>
    <s v="Si"/>
    <m/>
    <m/>
    <m/>
    <m/>
    <m/>
  </r>
  <r>
    <x v="1"/>
    <x v="1"/>
    <m/>
    <s v="Ruben Dario BETANCUR LOPEZ "/>
    <x v="4"/>
    <x v="2"/>
    <x v="2"/>
    <s v="Rubiela Jiménez Aguirre"/>
    <s v="Abuso tributario en Colombia: análisis, aplicación y responsabilidad penal"/>
    <x v="16"/>
    <m/>
    <s v="Maria Eugenia Nieto"/>
    <s v="Si"/>
    <m/>
    <m/>
    <m/>
    <m/>
    <m/>
  </r>
  <r>
    <x v="1"/>
    <x v="1"/>
    <m/>
    <s v="Julián AndrésTabarquino Mápura "/>
    <x v="4"/>
    <x v="2"/>
    <x v="2"/>
    <s v="Rubiela Jiménez Aguirre"/>
    <s v="“Abuso Tributario en Colombia: Análisis, Aplicación y Responsabilidad Penal”"/>
    <x v="16"/>
    <m/>
    <s v="Maria Eugenia Nieto"/>
    <s v="Si"/>
    <m/>
    <m/>
    <m/>
    <m/>
    <m/>
  </r>
  <r>
    <x v="2"/>
    <x v="7"/>
    <n v="1032456546"/>
    <s v="Juan David Granados Rincón"/>
    <x v="4"/>
    <x v="2"/>
    <x v="2"/>
    <s v="Jiber Antonio Quintero Salazar"/>
    <s v="Análisis del estado de la susceptibilidad de la infraestructura hidráulica mediante herramientas GIS en la cabecera municipal de San Pablo, Nariño. "/>
    <x v="16"/>
    <m/>
    <s v="Luz Andrea Sepúlveda"/>
    <s v="Si"/>
    <m/>
    <m/>
    <m/>
    <m/>
    <m/>
  </r>
  <r>
    <x v="2"/>
    <x v="7"/>
    <n v="1065895553"/>
    <s v="Juan David Martínez Urquijo"/>
    <x v="4"/>
    <x v="2"/>
    <x v="2"/>
    <s v="Jiber Antonio Quintero Salazar"/>
    <s v="Análisis del estado de la susceptibilidad de la infraestructura hidráulica mediante herramientas GIS en la cabecera municipal de San Pablo, Nariño. "/>
    <x v="16"/>
    <m/>
    <s v="Luz Andrea Sepúlveda"/>
    <s v="Si"/>
    <m/>
    <m/>
    <m/>
    <m/>
    <m/>
  </r>
  <r>
    <x v="2"/>
    <x v="7"/>
    <n v="1110579334"/>
    <s v="Juan Fernando Alvis González"/>
    <x v="4"/>
    <x v="2"/>
    <x v="2"/>
    <s v="Jiber Antonio Quintero Salazar"/>
    <s v="Análisis del estado de la susceptibilidad de la infraestructura hidráulica mediante herramientas GIS en la cabecera municipal de San Pablo, Nariño. "/>
    <x v="16"/>
    <m/>
    <s v="Luz Andrea Sepúlveda"/>
    <s v="Si"/>
    <m/>
    <m/>
    <m/>
    <m/>
    <m/>
  </r>
  <r>
    <x v="2"/>
    <x v="7"/>
    <n v="1085334644"/>
    <s v="Leidy Liliana Melo Caicedo"/>
    <x v="4"/>
    <x v="2"/>
    <x v="2"/>
    <s v="Jiber Antonio Quintero Salazar"/>
    <s v="Análisis del estado de la susceptibilidad de la infraestructura hidráulica mediante herramientas GIS en la cabecera municipal de San Pablo, Nariño. "/>
    <x v="16"/>
    <m/>
    <s v="Luz Andrea Sepúlveda"/>
    <s v="Si"/>
    <m/>
    <m/>
    <m/>
    <m/>
    <m/>
  </r>
  <r>
    <x v="0"/>
    <x v="18"/>
    <m/>
    <s v="Yeimi Carolina García Ospina  "/>
    <x v="4"/>
    <x v="2"/>
    <x v="2"/>
    <s v="Gonzalo Tamayo Giraldo"/>
    <s v="La experiencia del sentido de vida y las emociones en el bienestar psicológico de las personas mayores "/>
    <x v="16"/>
    <m/>
    <s v="Juan Pablo Charry"/>
    <s v="Si"/>
    <m/>
    <s v="OK RIDUM. OK PYS APROB.FEB/19/2025.AAL."/>
    <m/>
    <m/>
    <m/>
  </r>
  <r>
    <x v="0"/>
    <x v="18"/>
    <m/>
    <s v="Ottman Yeshid Salazar Morales  "/>
    <x v="4"/>
    <x v="2"/>
    <x v="2"/>
    <s v="Gonzalo Tamayo Giraldo"/>
    <s v="La experiencia del sentido de vida y las emociones en el bienestar psicológico de las personas mayores "/>
    <x v="16"/>
    <m/>
    <s v="Juan Pablo Charry"/>
    <s v="Si"/>
    <m/>
    <s v="OK RIDUM. OK PYS APROB.FEB/19/2025.AAL."/>
    <m/>
    <m/>
    <m/>
  </r>
  <r>
    <x v="2"/>
    <x v="7"/>
    <n v="1003591722"/>
    <s v="Sandra Marcela Causil Simanca"/>
    <x v="4"/>
    <x v="2"/>
    <x v="2"/>
    <m/>
    <s v="Potencial del Turismo Cultural en Valledupar: Perspectiva Geoespacial y Estratégica"/>
    <x v="16"/>
    <s v="Wilman Tangarife"/>
    <m/>
    <s v="Si"/>
    <m/>
    <m/>
    <m/>
    <m/>
    <m/>
  </r>
  <r>
    <x v="2"/>
    <x v="7"/>
    <n v="1003395591"/>
    <s v="Maria Paula Lora Chadid"/>
    <x v="4"/>
    <x v="2"/>
    <x v="2"/>
    <m/>
    <s v="Potencial del Turismo Cultural en Valledupar: Perspectiva Geoespacial y Estratégica"/>
    <x v="16"/>
    <s v="Wilman Tangarife"/>
    <m/>
    <s v="Si"/>
    <m/>
    <m/>
    <m/>
    <m/>
    <m/>
  </r>
  <r>
    <x v="0"/>
    <x v="24"/>
    <n v="1149454640"/>
    <s v="Yadira Lisbeth Amaya Colmenares"/>
    <x v="4"/>
    <x v="2"/>
    <x v="2"/>
    <m/>
    <s v="La transformación en el área de talento humano de Davivienda en las sucursales de Manizales con los modelos de trabajo híbrido/remoto"/>
    <x v="17"/>
    <s v="Wilman Tangarife"/>
    <s v="Harold Estiven García"/>
    <s v="Si"/>
    <m/>
    <s v="Ya di las indicaciones a Yadira por teléfono: 1. Agregar asesores en la portada con sus estudios más altos 2. Convertir autorización a PDF 3. Agregar toda la información de la página legal (página 2) 3. Agregar resumen y abstract"/>
    <m/>
    <m/>
    <m/>
  </r>
  <r>
    <x v="0"/>
    <x v="24"/>
    <n v="1110531811"/>
    <s v="Alejandra Acuña"/>
    <x v="4"/>
    <x v="2"/>
    <x v="2"/>
    <m/>
    <s v="La transformación en el área de talento humano de Davivienda en las sucursales de Manizales con los modelos de trabajo híbrido/remoto"/>
    <x v="17"/>
    <s v="Wilman Tangarife"/>
    <s v="Harold Estiven García"/>
    <s v="Si"/>
    <m/>
    <s v="Ya di las indicaciones a Yadira por teléfono: 1. Agregar asesores en la portada con sus estudios más altos 2. Convertir autorización a PDF 3. Agregar toda la información de la página legal (página 2) 3. Agregar resumen y abstract"/>
    <m/>
    <m/>
    <m/>
  </r>
  <r>
    <x v="1"/>
    <x v="17"/>
    <m/>
    <s v="Juan David Gomez Tabares"/>
    <x v="4"/>
    <x v="2"/>
    <x v="2"/>
    <s v="Pelaez Higuera, Keidy Johanna"/>
    <s v="MGT Gestión Integral"/>
    <x v="18"/>
    <m/>
    <s v="Maria Eugenia Nieto"/>
    <s v="Si"/>
    <m/>
    <s v="PROYECTO EMPRENDIMIENTO.OK PYS APROB.MAR/06/2025.AAL."/>
    <m/>
    <m/>
    <m/>
  </r>
  <r>
    <x v="1"/>
    <x v="1"/>
    <m/>
    <s v="Luz Maribel Victoria Gómez"/>
    <x v="4"/>
    <x v="2"/>
    <x v="2"/>
    <s v="Serna Restrepo, Jairo"/>
    <s v="Exenciones en el impuesto de renta y complementarios para las personas naturales, a la luz de la ley 1819 de 2016 y la ley 2277 del 2022, desde el principio de justicia tributaria"/>
    <x v="18"/>
    <m/>
    <s v="Maria Eugenia Nieto"/>
    <s v="Si"/>
    <m/>
    <s v="OK YA SUBIO A RIDUM. PNDTE SIGUM NOV/21/2024.AAL."/>
    <m/>
    <m/>
    <m/>
  </r>
  <r>
    <x v="4"/>
    <x v="5"/>
    <m/>
    <s v="Juan daniel Mejia restrepo"/>
    <x v="4"/>
    <x v="2"/>
    <x v="2"/>
    <m/>
    <m/>
    <x v="19"/>
    <m/>
    <m/>
    <s v="Si"/>
    <m/>
    <s v="OK PYS APROB.FEB/28/2025.AAL."/>
    <m/>
    <m/>
    <m/>
  </r>
  <r>
    <x v="2"/>
    <x v="7"/>
    <n v="91527354"/>
    <s v="Luis Francisco  Melo Rojas"/>
    <x v="4"/>
    <x v="2"/>
    <x v="2"/>
    <s v="Juan Sebastián Grisales Noreña"/>
    <s v="Análisis multitemporal de cambios de coberturas para el polígono del yacimiento paleontológico del Ricaurte alto, Boyacá"/>
    <x v="18"/>
    <m/>
    <s v="Luz Andrea Sepúlveda"/>
    <m/>
    <m/>
    <m/>
    <m/>
    <m/>
    <m/>
  </r>
  <r>
    <x v="2"/>
    <x v="7"/>
    <n v="1099207391"/>
    <s v="Leidy Edith Mosquera Nova"/>
    <x v="4"/>
    <x v="2"/>
    <x v="2"/>
    <s v="Juan Sebastián Grisales Noreña"/>
    <s v="Análisis multitemporal de cambios de coberturas para el polígono del yacimiento paleontológico del Ricaurte alto, Boyacá"/>
    <x v="18"/>
    <m/>
    <s v="Luz Andrea Sepúlveda"/>
    <m/>
    <m/>
    <m/>
    <m/>
    <m/>
    <m/>
  </r>
  <r>
    <x v="1"/>
    <x v="1"/>
    <m/>
    <s v="Sandra Marcela Alzate Herrera"/>
    <x v="4"/>
    <x v="2"/>
    <x v="2"/>
    <m/>
    <s v="“El impuesto al patrimonio en Colombia y los principios de progresividad, equidad y eficiencia”"/>
    <x v="18"/>
    <m/>
    <s v="Maria Eugenia Nieto"/>
    <s v="Si"/>
    <m/>
    <m/>
    <m/>
    <m/>
    <m/>
  </r>
  <r>
    <x v="1"/>
    <x v="1"/>
    <m/>
    <s v="Linda Johana Galeano Romero"/>
    <x v="4"/>
    <x v="2"/>
    <x v="2"/>
    <m/>
    <s v="“El impuesto al patrimonio en Colombia y los principios de progresividad, equidad y eficiencia”"/>
    <x v="18"/>
    <m/>
    <s v="Maria Eugenia Nieto"/>
    <s v="Si"/>
    <m/>
    <m/>
    <m/>
    <m/>
    <m/>
  </r>
  <r>
    <x v="1"/>
    <x v="23"/>
    <m/>
    <s v="Luisa Fernanda Solorzano Galind"/>
    <x v="4"/>
    <x v="2"/>
    <x v="2"/>
    <m/>
    <s v="Análisis de la calidad del agua para uso agrícola y fortalecimiento del rol social e institucional en la Quebrada El Pescador (Hobo, Huila)"/>
    <x v="20"/>
    <m/>
    <s v="Maria Eugenia Nieto"/>
    <s v="Si"/>
    <m/>
    <m/>
    <m/>
    <m/>
    <m/>
  </r>
  <r>
    <x v="1"/>
    <x v="16"/>
    <m/>
    <s v="ANDRES FELIPE PERDOMO JARAMILLO"/>
    <x v="5"/>
    <x v="2"/>
    <x v="2"/>
    <m/>
    <s v=" Diseño de un modelo de productividad laboral que evalúa el impacto en la competitividad de las Mipymes de café especial en el Sur del departamento del Huila."/>
    <x v="18"/>
    <m/>
    <s v="Maria Eugenia Nieto"/>
    <s v="Si"/>
    <m/>
    <m/>
    <m/>
    <m/>
    <m/>
  </r>
  <r>
    <x v="1"/>
    <x v="16"/>
    <m/>
    <s v="Juan Camilo Osorio Rojas"/>
    <x v="4"/>
    <x v="2"/>
    <x v="2"/>
    <s v="Carlos David Cardona Arenas"/>
    <s v="Desempeño socioeconómico de las subregiones del departamento del Huila y su contribución al desarrollo territorial durante el periodo 2015-2020."/>
    <x v="18"/>
    <m/>
    <s v="Maria Eugenia Nieto"/>
    <s v="Si"/>
    <m/>
    <m/>
    <m/>
    <m/>
    <m/>
  </r>
  <r>
    <x v="1"/>
    <x v="23"/>
    <n v="59123167"/>
    <s v="Diana Lorena Criollo Córdoba"/>
    <x v="4"/>
    <x v="2"/>
    <x v="2"/>
    <s v=" Carlos Humberto Gonzales Escobar "/>
    <s v="Conflictos ambientales frente al desarrollo sostenible de la microcuenca Molinoyaco en el municipio de el tambo, Nariño-Colombia "/>
    <x v="18"/>
    <m/>
    <s v="Luz Andrea Sepúlveda"/>
    <s v="Si"/>
    <m/>
    <m/>
    <m/>
    <m/>
    <m/>
  </r>
  <r>
    <x v="1"/>
    <x v="21"/>
    <n v="74184594"/>
    <s v="Henry Alvarado Avella "/>
    <x v="1"/>
    <x v="2"/>
    <x v="2"/>
    <s v="Carlos David Cardona Arenas "/>
    <s v="Public Takeover Offers and Their Impact on the Colombian Stock Market: A Panel - BVAR Analysis of the MSCI COLCAP (2020--2024) "/>
    <x v="18"/>
    <s v="Wilman Tangarife"/>
    <s v="Luz Andrea Sepúlveda"/>
    <s v="Si"/>
    <m/>
    <m/>
    <m/>
    <m/>
    <m/>
  </r>
  <r>
    <x v="1"/>
    <x v="21"/>
    <n v="1075281361"/>
    <s v="Cristian Andrés Polanía Calderón "/>
    <x v="1"/>
    <x v="2"/>
    <x v="2"/>
    <s v="Carlos David Cardona Arenas "/>
    <s v="Public Takeover Offers and Their Impact on the Colombian Stock Market: A Panel - BVAR Analysis of the MSCI COLCAP (2020--2024) "/>
    <x v="18"/>
    <s v="Wilman Tangarife"/>
    <s v="Luz Andrea Sepúlveda"/>
    <s v="Si"/>
    <m/>
    <m/>
    <m/>
    <m/>
    <m/>
  </r>
  <r>
    <x v="2"/>
    <x v="7"/>
    <n v="1015410513"/>
    <s v="DIANA CAROLINA NIEVES VARGAS "/>
    <x v="4"/>
    <x v="2"/>
    <x v="2"/>
    <m/>
    <s v="Análisis Multitemporal de la Vereda Venados en la Zona de Recuperación Natural del PNN Las Orquídeas: Cobertura y Restauración 2018-2024 "/>
    <x v="18"/>
    <s v="Wilman Tangarife"/>
    <s v="Maria Eugenia Nieto"/>
    <s v="Si"/>
    <m/>
    <m/>
    <m/>
    <m/>
    <m/>
  </r>
  <r>
    <x v="2"/>
    <x v="7"/>
    <n v="1152689538"/>
    <s v=" LUISA FERANDA TRUJILLO PENAGOS "/>
    <x v="4"/>
    <x v="2"/>
    <x v="2"/>
    <m/>
    <s v="Análisis Multitemporal de la Vereda Venados en la Zona de Recuperación Natural del PNN Las Orquídeas: Cobertura y Restauración 2018-2024 "/>
    <x v="18"/>
    <s v="Wilman Tangarife"/>
    <m/>
    <s v="Si"/>
    <m/>
    <m/>
    <m/>
    <m/>
    <m/>
  </r>
  <r>
    <x v="2"/>
    <x v="7"/>
    <n v="1098738165"/>
    <s v=" HARBY ANDRES RODRIGUEZ CAMACHO "/>
    <x v="4"/>
    <x v="2"/>
    <x v="2"/>
    <m/>
    <s v="Análisis Multitemporal de la Vereda Venados en la Zona de Recuperación Natural del PNN Las Orquídeas: Cobertura y Restauración 2018-2024 "/>
    <x v="18"/>
    <s v="Wilman Tangarife"/>
    <m/>
    <s v="Si"/>
    <m/>
    <m/>
    <m/>
    <m/>
    <m/>
  </r>
  <r>
    <x v="0"/>
    <x v="0"/>
    <n v="1130621528"/>
    <s v="Valentina Ceballos Montoya "/>
    <x v="1"/>
    <x v="2"/>
    <x v="2"/>
    <s v="Jaime Alberto Restrepo Soto "/>
    <s v="“Desesencializar las niñeces y las identidades: historia de vida de una joven trans"/>
    <x v="18"/>
    <s v="Wilman Tangarife"/>
    <s v="Luz Andrea Sepúlveda"/>
    <s v="Si"/>
    <m/>
    <m/>
    <m/>
    <m/>
    <m/>
  </r>
  <r>
    <x v="0"/>
    <x v="0"/>
    <n v="1061808902"/>
    <s v="Ingrid Juanita Hoyos Gómez"/>
    <x v="4"/>
    <x v="2"/>
    <x v="2"/>
    <s v="Juan Bernardo Zuluaga Valencia"/>
    <s v="Intervención del nivel pragmático a través del juego en niños con Trastorno del Espectro Autista "/>
    <x v="21"/>
    <m/>
    <s v="Luz Andrea Sepúlveda"/>
    <s v="Si"/>
    <m/>
    <m/>
    <m/>
    <m/>
    <m/>
  </r>
  <r>
    <x v="0"/>
    <x v="25"/>
    <n v="1088038995"/>
    <s v="Valentina Buitrago Londoño "/>
    <x v="4"/>
    <x v="2"/>
    <x v="2"/>
    <s v="Andrés Osorio Londoño"/>
    <s v="Influencia de la compensación total en el desempeño individual de los agentes de telemarketing de Lamassu Media SAS "/>
    <x v="21"/>
    <m/>
    <s v="Luz Andrea Sepúlveda"/>
    <s v="Si"/>
    <m/>
    <m/>
    <m/>
    <m/>
    <m/>
  </r>
  <r>
    <x v="1"/>
    <x v="8"/>
    <n v="1053779106"/>
    <s v="Jorge Hernán Marín Londoño"/>
    <x v="3"/>
    <x v="0"/>
    <x v="1"/>
    <s v="Marleny Cardona Acevedo"/>
    <m/>
    <x v="21"/>
    <m/>
    <s v="Harold Estiven García"/>
    <s v="Si"/>
    <m/>
    <m/>
    <m/>
    <m/>
    <m/>
  </r>
  <r>
    <x v="1"/>
    <x v="8"/>
    <m/>
    <s v="Stefania Valderrama Madrigal"/>
    <x v="3"/>
    <x v="0"/>
    <x v="1"/>
    <s v="Marleny Cardona Acevedo"/>
    <m/>
    <x v="21"/>
    <m/>
    <s v="Harold Estiven García"/>
    <s v="Si"/>
    <m/>
    <m/>
    <m/>
    <m/>
    <m/>
  </r>
  <r>
    <x v="2"/>
    <x v="7"/>
    <n v="91527354"/>
    <s v="Luis Francisco Melo Rojas"/>
    <x v="4"/>
    <x v="2"/>
    <x v="2"/>
    <s v="Juan Sebastián Grisales Noreña"/>
    <s v="Análisis multitemporal de cambios de coberturas para el polígono del yacimiento paleontológico del Ricaurte alto, Boyacá"/>
    <x v="21"/>
    <m/>
    <s v="Luz Andrea Sepúlveda"/>
    <s v="Si"/>
    <m/>
    <m/>
    <m/>
    <m/>
    <m/>
  </r>
  <r>
    <x v="2"/>
    <x v="7"/>
    <n v="1099207391"/>
    <s v="Leidy Edith Mosquera Nova"/>
    <x v="4"/>
    <x v="2"/>
    <x v="2"/>
    <s v="Juan Sebastián Grisales Noreña"/>
    <s v="Análisis multitemporal de cambios de coberturas para el polígono del yacimiento paleontológico del Ricaurte alto, Boyacá"/>
    <x v="21"/>
    <m/>
    <s v="Luz Andrea Sepúlveda"/>
    <s v="Si"/>
    <m/>
    <m/>
    <m/>
    <m/>
    <m/>
  </r>
  <r>
    <x v="2"/>
    <x v="26"/>
    <m/>
    <s v="Mariana Sofía Candamil Cortés "/>
    <x v="4"/>
    <x v="2"/>
    <x v="2"/>
    <s v=" Jorge William Arboleda Valencia"/>
    <s v="Implementación de un modelo computacional predictivo de cosecha con herramientas tecnológicas avanzadas para la producción sostenible del cultivo de cacao "/>
    <x v="21"/>
    <m/>
    <s v="Harold Estiven García"/>
    <s v="Si"/>
    <m/>
    <m/>
    <m/>
    <m/>
    <m/>
  </r>
  <r>
    <x v="0"/>
    <x v="4"/>
    <m/>
    <s v="Juan David Jamioy Cabrera "/>
    <x v="4"/>
    <x v="2"/>
    <x v="2"/>
    <s v="Claudia Patricia Jiménez Guzmán"/>
    <s v="Herramientas tecnológicas basadas en juegos como alternativa para el desarrollo de competencias matemáticas en operaciones básicas de multiplicación y división en niños y niñas de 8 a 9 años"/>
    <x v="21"/>
    <m/>
    <s v="Luz Andrea Sepúlveda"/>
    <s v="Si"/>
    <m/>
    <m/>
    <m/>
    <m/>
    <m/>
  </r>
  <r>
    <x v="0"/>
    <x v="4"/>
    <m/>
    <s v="Angie Carolay Rodríguez Cosme"/>
    <x v="4"/>
    <x v="2"/>
    <x v="2"/>
    <s v="Claudia Patricia Jiménez Guzmán"/>
    <s v="Herramientas tecnológicas basadas en juegos como alternativa para el desarrollo de competencias matemáticas en operaciones básicas de multiplicación y división en niños y niñas de 8 a 9 años"/>
    <x v="21"/>
    <m/>
    <s v="Luz Andrea Sepúlveda"/>
    <s v="Si"/>
    <m/>
    <m/>
    <m/>
    <m/>
    <m/>
  </r>
  <r>
    <x v="1"/>
    <x v="16"/>
    <m/>
    <s v="Nika Cuellar Cuenca"/>
    <x v="4"/>
    <x v="2"/>
    <x v="2"/>
    <m/>
    <s v="FACTORES ECONÓMICOS Y SOCIALES QUE INFLUYEN EN EL"/>
    <x v="21"/>
    <m/>
    <s v="Maria Eugenia Nieto"/>
    <s v="Si"/>
    <m/>
    <m/>
    <m/>
    <m/>
    <m/>
  </r>
  <r>
    <x v="0"/>
    <x v="0"/>
    <n v="75104174"/>
    <s v="Andrés Mauricio Cardona Aguirre "/>
    <x v="4"/>
    <x v="2"/>
    <x v="2"/>
    <s v="Juan Bernardo Zuluaga Valencia "/>
    <s v="Función ejecutiva y teoría de la mente en niños con trastorno del espectro autista"/>
    <x v="21"/>
    <m/>
    <s v="Luz Andrea Sepúlveda"/>
    <s v="Si"/>
    <m/>
    <s v="Falta titulo en el formato autorización y documento principal en PDF"/>
    <m/>
    <m/>
    <m/>
  </r>
  <r>
    <x v="1"/>
    <x v="16"/>
    <m/>
    <s v="JOSE ZAID AVILA LÓPEZ"/>
    <x v="4"/>
    <x v="2"/>
    <x v="2"/>
    <m/>
    <s v="Análisis de las variables para la evaluación del desarrollo de la economía popular en el municipio de Villavieja"/>
    <x v="21"/>
    <m/>
    <s v="Maria Eugenia Nieto"/>
    <s v="Si"/>
    <m/>
    <s v="Se rechaza porque debe hacer los siguientes ajustes:_x000a__x000a__x000a_4.Revisar el uso de las mayúsculas ya que hay nombre de capítulos donde utiliza mayúsculas sostenidas y otros solo aplica mayúscula al iniciar el título, que es lo más recomendable._x000a_5. El Formato de autorización de RIDUM, quedo sin la justificación del porque No va a publicar._x000a_"/>
    <m/>
    <m/>
    <m/>
  </r>
  <r>
    <x v="0"/>
    <x v="4"/>
    <m/>
    <s v="Kerlyn Dahiana Betancourth Ríos "/>
    <x v="4"/>
    <x v="2"/>
    <x v="2"/>
    <s v="Claudia Esperanza Cardona López"/>
    <s v="Arte y emociones: estrategias para el bienestar y la confianza"/>
    <x v="21"/>
    <m/>
    <s v="Luz Andrea Sepúlveda"/>
    <s v="Si"/>
    <m/>
    <m/>
    <m/>
    <m/>
    <m/>
  </r>
  <r>
    <x v="0"/>
    <x v="4"/>
    <m/>
    <s v="Laura Cristina Gómez Rivera "/>
    <x v="4"/>
    <x v="2"/>
    <x v="2"/>
    <s v="Claudia Esperanza Cardona López"/>
    <s v="Arte y emociones: estrategias para el bienestar y la confianza"/>
    <x v="21"/>
    <m/>
    <s v="Luz Andrea Sepúlveda"/>
    <s v="Si"/>
    <m/>
    <m/>
    <m/>
    <m/>
    <m/>
  </r>
  <r>
    <x v="1"/>
    <x v="23"/>
    <m/>
    <s v="Jhon Eddison Ortega Jácome"/>
    <x v="4"/>
    <x v="2"/>
    <x v="2"/>
    <s v="Amaya Castaño, Gloria Clemencia"/>
    <s v="Biogobernanza del agua del páramo de Santurbán: saberes ancestrales, conflictos socioambientales y resiliencia comunitaria"/>
    <x v="19"/>
    <m/>
    <s v="Maria Eugenia Nieto"/>
    <s v="Si"/>
    <m/>
    <m/>
    <m/>
    <m/>
    <m/>
  </r>
  <r>
    <x v="1"/>
    <x v="21"/>
    <n v="1023903180"/>
    <s v="Jhon Eduard Machado Ortiz"/>
    <x v="1"/>
    <x v="2"/>
    <x v="2"/>
    <s v="Bilver Adrián Astorquiza Bustos"/>
    <s v="Estudio de viabilidad social para la creación de una Fundación Enfocada en Deporte y el Medio Ambiente en la Empresa de Energía del Putumayo S.A. E.S.P. "/>
    <x v="21"/>
    <m/>
    <s v="Luz Andrea Sepúlveda"/>
    <s v="Si"/>
    <m/>
    <m/>
    <m/>
    <m/>
    <m/>
  </r>
  <r>
    <x v="1"/>
    <x v="21"/>
    <n v="1039468353"/>
    <s v="Daniela Salgado Pérez "/>
    <x v="1"/>
    <x v="2"/>
    <x v="2"/>
    <s v="Bilver Adrián Astorquiza Bustos"/>
    <s v="Estudio de viabilidad social para la creación de una Fundación Enfocada en Deporte y el Medio Ambiente en la Empresa de Energía del Putumayo S.A. E.S.P. "/>
    <x v="21"/>
    <m/>
    <s v="Luz Andrea Sepúlveda"/>
    <s v="Si"/>
    <m/>
    <m/>
    <m/>
    <m/>
    <m/>
  </r>
  <r>
    <x v="1"/>
    <x v="23"/>
    <m/>
    <s v="Diana Lorena Criollo Córdoba"/>
    <x v="4"/>
    <x v="2"/>
    <x v="2"/>
    <s v="Carlos Humberto González Escobar"/>
    <s v="“Conflictos ambientales frente al desarrollo Sostenible de la microcuenca molinoyaco en el municipio de el tambo (Nariño-Colombia)”"/>
    <x v="21"/>
    <m/>
    <s v="Maria Eugenia Nieto"/>
    <s v="Si"/>
    <m/>
    <m/>
    <m/>
    <m/>
    <m/>
  </r>
  <r>
    <x v="0"/>
    <x v="4"/>
    <n v="1038131819"/>
    <s v="Carolina Marín Romero "/>
    <x v="4"/>
    <x v="2"/>
    <x v="2"/>
    <s v="Claudia Bionet Gómez Álzate"/>
    <s v="Comunicación asertiva, empatía y resolución de conflictos para estudiantes virtuales de educación superior.  "/>
    <x v="21"/>
    <m/>
    <s v="Luz Andrea Sepúlveda"/>
    <s v="Si"/>
    <m/>
    <m/>
    <m/>
    <m/>
    <m/>
  </r>
  <r>
    <x v="0"/>
    <x v="4"/>
    <n v="1059810800"/>
    <s v="Mónica María Loaiza Cárdenas"/>
    <x v="4"/>
    <x v="2"/>
    <x v="2"/>
    <s v="Claudia Bionet Gómez Álzate"/>
    <s v="Comunicación asertiva, empatía y resolución de conflictos para estudiantes virtuales de educación superior.  "/>
    <x v="21"/>
    <m/>
    <s v="Luz Andrea Sepúlveda"/>
    <s v="Si"/>
    <m/>
    <m/>
    <m/>
    <m/>
    <m/>
  </r>
  <r>
    <x v="0"/>
    <x v="24"/>
    <m/>
    <s v="Yadira Amaya"/>
    <x v="4"/>
    <x v="2"/>
    <x v="2"/>
    <m/>
    <m/>
    <x v="21"/>
    <m/>
    <s v="Maria Eugenia Nieto"/>
    <s v="Si"/>
    <m/>
    <m/>
    <m/>
    <m/>
    <m/>
  </r>
  <r>
    <x v="2"/>
    <x v="7"/>
    <m/>
    <s v="Nicolás Sebastián Becerra Guerrero"/>
    <x v="1"/>
    <x v="2"/>
    <x v="2"/>
    <s v="Ana María Giraldo Patiño"/>
    <s v="Comparación de índices espectrales y cambios de cobertura pre y post"/>
    <x v="21"/>
    <m/>
    <s v="Maria Eugenia Nieto"/>
    <s v="Si"/>
    <m/>
    <m/>
    <m/>
    <m/>
    <m/>
  </r>
  <r>
    <x v="2"/>
    <x v="7"/>
    <m/>
    <s v="Diego Atilano Trujillo Torres"/>
    <x v="1"/>
    <x v="2"/>
    <x v="2"/>
    <s v="Ana María Giraldo Patiño"/>
    <s v="Comparación de índices espectrales y cambios de cobertura pre y post"/>
    <x v="21"/>
    <m/>
    <s v="Maria Eugenia Nieto"/>
    <s v="Si"/>
    <m/>
    <m/>
    <m/>
    <m/>
    <m/>
  </r>
  <r>
    <x v="2"/>
    <x v="27"/>
    <m/>
    <s v="Carlos Andres Palacio Gaviria"/>
    <x v="1"/>
    <x v="2"/>
    <x v="2"/>
    <m/>
    <s v="Procesos de automatización y sistematización en logística 4.0 para almacenes"/>
    <x v="21"/>
    <m/>
    <s v="Maria Eugenia Nieto"/>
    <s v="Si"/>
    <m/>
    <s v="OK PYS APROB.FEB/27/2025.AAL."/>
    <m/>
    <m/>
    <m/>
  </r>
  <r>
    <x v="0"/>
    <x v="25"/>
    <n v="98578441"/>
    <s v="Juan Manuel Alzate Hernández "/>
    <x v="4"/>
    <x v="2"/>
    <x v="2"/>
    <s v="Marleny Cardona Acevedo"/>
    <s v="Cultura organizacional. O la cultura en la organización"/>
    <x v="21"/>
    <m/>
    <s v="Luz Andrea Sepúlveda"/>
    <s v="Si"/>
    <m/>
    <m/>
    <m/>
    <m/>
    <m/>
  </r>
  <r>
    <x v="1"/>
    <x v="23"/>
    <m/>
    <s v="Moisés Elías Alexander Taborda"/>
    <x v="4"/>
    <x v="2"/>
    <x v="2"/>
    <s v="Gloria Yaneth Flórez Yepes"/>
    <s v="Aproximación al valor económico del agua en humedales y su integración a la planificación ambiental en el bajo cauca antioqueño"/>
    <x v="21"/>
    <m/>
    <s v="Maria Eugenia Nieto"/>
    <s v="Si"/>
    <m/>
    <m/>
    <m/>
    <m/>
    <m/>
  </r>
  <r>
    <x v="1"/>
    <x v="8"/>
    <m/>
    <s v="Fausto Mejía Restrepo"/>
    <x v="4"/>
    <x v="2"/>
    <x v="2"/>
    <s v="Jose Fernando Barahona"/>
    <s v="Factores influyentes en la decisión de compra entre agencias de viajes tradicionales y virtuales (OTAs) para las generaciones X y Millennials, desde la perspectiva del marketing relacional"/>
    <x v="21"/>
    <m/>
    <s v="Maria Eugenia Nieto"/>
    <s v="Si"/>
    <m/>
    <m/>
    <m/>
    <m/>
    <m/>
  </r>
  <r>
    <x v="1"/>
    <x v="8"/>
    <m/>
    <s v="Carol viviana betancur velasquez"/>
    <x v="4"/>
    <x v="2"/>
    <x v="2"/>
    <s v="Jose Fernando Barahona"/>
    <s v="Factores influyentes en la decisión de compra entre agencias de viajes tradicionales y virtuales (OTAs) para las generaciones X y Millennials, desde la perspectiva del marketing relacional"/>
    <x v="21"/>
    <m/>
    <s v="Maria Eugenia Nieto"/>
    <s v="No"/>
    <m/>
    <s v="Organizar lista de tablas, el formato de autorización de publicación de obra debe tener el título."/>
    <m/>
    <m/>
    <m/>
  </r>
  <r>
    <x v="2"/>
    <x v="7"/>
    <n v="1130682022"/>
    <s v=" Diego J. Calderón Villanueva  "/>
    <x v="4"/>
    <x v="2"/>
    <x v="2"/>
    <m/>
    <s v="Valoración geoestadistica de los factores modificadores mineros, ambientales y sociales en la estimación de los recursos mineros de arenas y gravas en el municipio de Yumbo (Valle del Cauca) "/>
    <x v="21"/>
    <s v="Wilman Tangarife"/>
    <m/>
    <m/>
    <m/>
    <s v="Falta Título: subtítulo:   trabajo en Word"/>
    <m/>
    <m/>
    <m/>
  </r>
  <r>
    <x v="2"/>
    <x v="7"/>
    <n v="1057594286"/>
    <s v="  Yeison Levi Mesa Tibaduiza  "/>
    <x v="4"/>
    <x v="2"/>
    <x v="2"/>
    <m/>
    <s v="Valoración geoestadistica de los factores modificadores mineros, ambientales y sociales en la estimación de los recursos mineros de arenas y gravas en el municipio de Yumbo (Valle del Cauca) "/>
    <x v="21"/>
    <s v="Wilman Tangarife"/>
    <m/>
    <m/>
    <m/>
    <s v="Falta Título: subtítulo:   trabajo en Word"/>
    <m/>
    <m/>
    <m/>
  </r>
  <r>
    <x v="2"/>
    <x v="7"/>
    <n v="1004631161"/>
    <s v="Yeny Fernanda Rosero Ordoñez "/>
    <x v="4"/>
    <x v="2"/>
    <x v="2"/>
    <m/>
    <s v="Valoración geoestadistica de los factores modificadores mineros, ambientales y sociales en la estimación de los recursos mineros de arenas y gravas en el municipio de Yumbo (Valle del Cauca) "/>
    <x v="21"/>
    <s v="Wilman Tangarife"/>
    <m/>
    <m/>
    <m/>
    <s v="Falta Título: subtítulo:   trabajo en Word"/>
    <m/>
    <m/>
    <m/>
  </r>
  <r>
    <x v="2"/>
    <x v="7"/>
    <n v="1050963122"/>
    <s v="Daniela Geraldinne Ahumada Cabarcas "/>
    <x v="4"/>
    <x v="2"/>
    <x v="2"/>
    <m/>
    <s v="Valoración geoestadistica de los factores modificadores mineros, ambientales y sociales en la estimación de los recursos mineros de arenas y gravas en el municipio de Yumbo (Valle del Cauca) "/>
    <x v="21"/>
    <s v="Wilman Tangarife"/>
    <m/>
    <m/>
    <m/>
    <s v="Falta Título: subtítulo:   trabajo en Word"/>
    <m/>
    <m/>
    <m/>
  </r>
  <r>
    <x v="2"/>
    <x v="7"/>
    <n v="1233189211"/>
    <s v="Claudia Paola Muñoz Bravo "/>
    <x v="4"/>
    <x v="2"/>
    <x v="2"/>
    <m/>
    <s v="Valoración geoestadistica de los factores modificadores mineros, ambientales y sociales en la estimación de los recursos mineros de arenas y gravas en el municipio de Yumbo (Valle del Cauca) "/>
    <x v="21"/>
    <s v="Wilman Tangarife"/>
    <m/>
    <m/>
    <m/>
    <s v="Falta Título: subtítulo:   trabajo en Word"/>
    <m/>
    <m/>
    <m/>
  </r>
  <r>
    <x v="1"/>
    <x v="1"/>
    <n v="1053780662"/>
    <s v="Yeny Lorena Salgado Cardona"/>
    <x v="4"/>
    <x v="2"/>
    <x v="2"/>
    <s v="Julián Andrés Martínez Noreña"/>
    <s v="Validez jurídica del impuesto mínimo en el acuerdo 29 de 2015 de la ciudad de Pereira."/>
    <x v="21"/>
    <s v="Wilman Tangarife"/>
    <s v="Maria Eugenia Nieto"/>
    <s v="Si"/>
    <m/>
    <m/>
    <m/>
    <m/>
    <m/>
  </r>
  <r>
    <x v="4"/>
    <x v="28"/>
    <m/>
    <s v="Yuliette Lorena Tribiño Cuellar"/>
    <x v="3"/>
    <x v="0"/>
    <x v="0"/>
    <s v="Sandra Constanza Cañón Buitrago"/>
    <m/>
    <x v="21"/>
    <m/>
    <s v="Harold Estiven García"/>
    <s v="Si"/>
    <m/>
    <m/>
    <m/>
    <m/>
    <m/>
  </r>
  <r>
    <x v="1"/>
    <x v="16"/>
    <n v="1081159752"/>
    <s v="Lester Fabian Garrido Arenas"/>
    <x v="4"/>
    <x v="2"/>
    <x v="2"/>
    <s v="Carlos David Cardona Arenas"/>
    <s v="Perspectivas económicas y estrategias para el fomento del empleo en Neiva: Un análisis crítico de los Planes de Desarrollo (1995-2024)"/>
    <x v="21"/>
    <s v="Wilman Tangarife"/>
    <s v="Luz Andrea Sepúlveda"/>
    <s v="Si"/>
    <m/>
    <m/>
    <m/>
    <m/>
    <m/>
  </r>
  <r>
    <x v="1"/>
    <x v="22"/>
    <n v="1034777213"/>
    <s v="THOMAS GUZMÁN LÓPEZ"/>
    <x v="4"/>
    <x v="2"/>
    <x v="2"/>
    <s v="EDUARD CASTAÑO GIL"/>
    <s v="PERCEPCIÓN Y ESTRATEGIAS DE ADAPTACIÓN DE LOS TENDEROS FRENTE AL IMPACTO DE LOS DISCOUNTERS EN MANIZALES"/>
    <x v="21"/>
    <s v="Wilman Tangarife"/>
    <s v="Maria Eugenia Nieto"/>
    <s v="Si"/>
    <m/>
    <m/>
    <m/>
    <m/>
    <m/>
  </r>
  <r>
    <x v="1"/>
    <x v="22"/>
    <n v="1000148794"/>
    <s v="NICOLÁS ALEJANDRO BLANDÓN BOTÍA"/>
    <x v="4"/>
    <x v="2"/>
    <x v="2"/>
    <s v="EDUARD CASTAÑO GIL"/>
    <s v="PERCEPCIÓN Y ESTRATEGIAS DE ADAPTACIÓN DE LOS TENDEROS FRENTE AL IMPACTO DE LOS DISCOUNTERS EN MANIZALES"/>
    <x v="21"/>
    <s v="Wilman Tangarife"/>
    <m/>
    <s v="Si"/>
    <m/>
    <s v="Falta todo prácticamente .Debe utilizar la plantilla, falta acta de sustentación, falta formato de autorización y versión en word del trabajo. La tabla de contenido y la bibliogrqafía debe ajustarse."/>
    <m/>
    <m/>
    <m/>
  </r>
  <r>
    <x v="0"/>
    <x v="12"/>
    <m/>
    <s v="Julián Castañeda"/>
    <x v="4"/>
    <x v="2"/>
    <x v="2"/>
    <m/>
    <s v="Somos fuente orgánica del conjunto social. Despliegues de la subjetividad política en activistas presentes en redes sociales"/>
    <x v="22"/>
    <m/>
    <s v="Maria Eugenia Nieto"/>
    <s v="Si"/>
    <m/>
    <m/>
    <m/>
    <m/>
    <m/>
  </r>
  <r>
    <x v="2"/>
    <x v="7"/>
    <m/>
    <s v="Claudia Paola Muñoz Bravo "/>
    <x v="4"/>
    <x v="2"/>
    <x v="2"/>
    <m/>
    <s v="“Valoración geoestadistica de los factores modificadores mineros, ambientales y sociales en la estimación de los recursos mineros de arenas y gravas en el municipio de Yumbo (Valle del Cauca)”"/>
    <x v="22"/>
    <m/>
    <s v="Maria Eugenia Nieto"/>
    <s v="Si"/>
    <m/>
    <m/>
    <m/>
    <m/>
    <m/>
  </r>
  <r>
    <x v="2"/>
    <x v="7"/>
    <m/>
    <s v="Daniela Ahumada Cabarcas "/>
    <x v="4"/>
    <x v="2"/>
    <x v="2"/>
    <m/>
    <s v="“Valoración geoestadistica de los factores modificadores mineros, ambientales y sociales en la estimación de los recursos mineros de arenas y gravas en el municipio de Yumbo (Valle del Cauca)”"/>
    <x v="22"/>
    <m/>
    <s v="Maria Eugenia Nieto"/>
    <s v="Si"/>
    <m/>
    <m/>
    <m/>
    <m/>
    <m/>
  </r>
  <r>
    <x v="2"/>
    <x v="7"/>
    <m/>
    <s v="Diego Jose Calderón Villanueva "/>
    <x v="4"/>
    <x v="2"/>
    <x v="2"/>
    <m/>
    <s v="“Valoración geoestadistica de los factores modificadores mineros, ambientales y sociales en la estimación de los recursos mineros de arenas y gravas en el municipio de Yumbo (Valle del Cauca)”"/>
    <x v="22"/>
    <m/>
    <s v="Maria Eugenia Nieto"/>
    <s v="Si"/>
    <m/>
    <m/>
    <m/>
    <m/>
    <m/>
  </r>
  <r>
    <x v="2"/>
    <x v="7"/>
    <m/>
    <s v="Yeny Fernanda Rosero Ordoñez "/>
    <x v="4"/>
    <x v="2"/>
    <x v="2"/>
    <m/>
    <s v="“Valoración geoestadistica de los factores modificadores mineros, ambientales y sociales en la estimación de los recursos mineros de arenas y gravas en el municipio de Yumbo (Valle del Cauca)”"/>
    <x v="22"/>
    <m/>
    <s v="Maria Eugenia Nieto"/>
    <s v="Si"/>
    <m/>
    <m/>
    <m/>
    <m/>
    <m/>
  </r>
  <r>
    <x v="2"/>
    <x v="7"/>
    <m/>
    <s v="Yeison Levi Mesa Tibaduiza"/>
    <x v="4"/>
    <x v="2"/>
    <x v="2"/>
    <m/>
    <s v="“Valoración geoestadistica de los factores modificadores mineros, ambientales y sociales en la estimación de los recursos mineros de arenas y gravas en el municipio de Yumbo (Valle del Cauca)”"/>
    <x v="22"/>
    <m/>
    <s v="Maria Eugenia Nieto"/>
    <s v="Si"/>
    <m/>
    <m/>
    <m/>
    <m/>
    <m/>
  </r>
  <r>
    <x v="0"/>
    <x v="4"/>
    <m/>
    <s v="Kerlyn Dahiana Betancourt"/>
    <x v="4"/>
    <x v="2"/>
    <x v="2"/>
    <m/>
    <s v="n Educación, denominado: A"/>
    <x v="22"/>
    <m/>
    <s v="Maria Eugenia Nieto"/>
    <s v="Si"/>
    <m/>
    <m/>
    <m/>
    <m/>
    <m/>
  </r>
  <r>
    <x v="0"/>
    <x v="4"/>
    <m/>
    <s v="Laura Cristina Gómez Rivera"/>
    <x v="4"/>
    <x v="2"/>
    <x v="2"/>
    <m/>
    <s v="n Educación, denominado: A"/>
    <x v="22"/>
    <m/>
    <s v="Maria Eugenia Nieto"/>
    <s v="Si"/>
    <m/>
    <m/>
    <m/>
    <m/>
    <m/>
  </r>
  <r>
    <x v="0"/>
    <x v="4"/>
    <m/>
    <s v="Jhorman Alejandro Gómez Arroyave"/>
    <x v="1"/>
    <x v="2"/>
    <x v="0"/>
    <s v="Claudia Patricia Jimenez"/>
    <s v="Habilidades investigativas: Una mirada que dota de sentido el aula"/>
    <x v="22"/>
    <m/>
    <s v="Juan Pablo Charry"/>
    <s v="Si"/>
    <m/>
    <m/>
    <m/>
    <m/>
    <m/>
  </r>
  <r>
    <x v="0"/>
    <x v="4"/>
    <m/>
    <s v="Sandra Mónica Garcés Viloria"/>
    <x v="1"/>
    <x v="2"/>
    <x v="0"/>
    <s v="Claudia Patricia Jimenez"/>
    <s v="Habilidades investigativas: Una mirada que dota de sentido el aula"/>
    <x v="22"/>
    <m/>
    <s v="Juan Pablo Charry"/>
    <s v="Si"/>
    <m/>
    <m/>
    <m/>
    <m/>
    <m/>
  </r>
  <r>
    <x v="0"/>
    <x v="4"/>
    <m/>
    <s v="Maria Camila Palacios Aldana"/>
    <x v="1"/>
    <x v="2"/>
    <x v="0"/>
    <s v="Claudia Patricia Jimenez"/>
    <s v="Habilidades investigativas: Una mirada que dota de sentido el aula"/>
    <x v="22"/>
    <m/>
    <s v="Juan Pablo Charry"/>
    <s v="Si"/>
    <m/>
    <m/>
    <m/>
    <m/>
    <m/>
  </r>
  <r>
    <x v="2"/>
    <x v="7"/>
    <m/>
    <s v="Diego Alejandro Calderon Diaz"/>
    <x v="2"/>
    <x v="2"/>
    <x v="2"/>
    <m/>
    <s v="NDVI como indicador de efectividad en la aplicación de Ascophyllum nodosum en el cultivo de aguacate (Persea americana var. Hass)"/>
    <x v="22"/>
    <m/>
    <s v="Maria Eugenia Nieto"/>
    <s v="Si"/>
    <m/>
    <s v="Está bien aplicado el formato de la plantilla, pero el trabajo se ha movido, hay muchos espacios empezando cada página, pues se movieron muchos títulos. Preferiblemente, cuando se vaya a empezar con un título principal pasar a la siguiente página con Control+Enter, en vez de dar espacios hasta llegar a la siguiente página, para que no suceda lo que te sucedió. -La página 40 está en blanco.-En la autorización, agregar el título en el campo después de la fecha de entrega"/>
    <m/>
    <m/>
    <m/>
  </r>
  <r>
    <x v="0"/>
    <x v="6"/>
    <m/>
    <s v="Francisco José Restrepo Sulez"/>
    <x v="4"/>
    <x v="2"/>
    <x v="2"/>
    <m/>
    <m/>
    <x v="22"/>
    <m/>
    <s v="Maria Eugenia Nieto"/>
    <s v="Si"/>
    <m/>
    <m/>
    <m/>
    <m/>
    <m/>
  </r>
  <r>
    <x v="0"/>
    <x v="4"/>
    <m/>
    <s v="Andrés Felipe Castro Torres "/>
    <x v="4"/>
    <x v="2"/>
    <x v="2"/>
    <s v="Juan Carlos Rodríguez Rengifo"/>
    <s v="La gestión emocional docente: una práctica pedagógica que fomenta los entornos saludables"/>
    <x v="23"/>
    <m/>
    <s v="Maria Eugenia Nieto"/>
    <s v="Si"/>
    <m/>
    <m/>
    <m/>
    <m/>
    <m/>
  </r>
  <r>
    <x v="0"/>
    <x v="4"/>
    <m/>
    <s v="Salomé Franco Patiño"/>
    <x v="4"/>
    <x v="2"/>
    <x v="2"/>
    <s v="Juan Carlos Rodríguez Rengifo"/>
    <s v="La gestión emocional docente: una práctica pedagógica que fomenta los entornos saludables"/>
    <x v="23"/>
    <m/>
    <s v="Maria Eugenia Nieto"/>
    <s v="Si"/>
    <m/>
    <m/>
    <m/>
    <m/>
    <m/>
  </r>
  <r>
    <x v="4"/>
    <x v="5"/>
    <s v="Derecho"/>
    <s v="Diana Sofia García Quiroz "/>
    <x v="4"/>
    <x v="2"/>
    <x v="2"/>
    <s v="Beatríz Mejia Serna"/>
    <s v="Los derechos del niño en la subrogación de vientres frente a la muerte de los padres intencionales "/>
    <x v="22"/>
    <m/>
    <s v="Juan Pablo Charry"/>
    <s v="Si"/>
    <m/>
    <s v="Tener en cuenta los siguientes ajustes: 1. En el formato de autorización agregar el título en el campo después de la fecha de entrega a la biblioteca 2. Aplicar sangría a todos los párrafos del trabajo (sangría especial para párrafos APA) 3. Cambiar Índice por Tabla de contenido"/>
    <m/>
    <m/>
    <m/>
  </r>
  <r>
    <x v="4"/>
    <x v="5"/>
    <s v="Derecho"/>
    <s v="Miguel Angel Acero Arango "/>
    <x v="4"/>
    <x v="2"/>
    <x v="2"/>
    <s v="Beatríz Mejia Serna"/>
    <s v="Los derechos del niño en la subrogación de vientres frente a la muerte de los padres intencionales "/>
    <x v="22"/>
    <m/>
    <s v="Juan Pablo Charry"/>
    <s v="Si"/>
    <m/>
    <s v="Tener en cuenta los siguientes ajustes: 1. En el formato de autorización agregar el título en el campo después de la fecha de entrega a la biblioteca 2. Aplicar sangría a todos los párrafos del trabajo (sangría especial para párrafos APA) 3. Cambiar Índice por Tabla de contenido"/>
    <m/>
    <m/>
    <m/>
  </r>
  <r>
    <x v="0"/>
    <x v="12"/>
    <m/>
    <s v="Reisner de Jesús Ravelo Méndez"/>
    <x v="4"/>
    <x v="2"/>
    <x v="1"/>
    <s v="Julian Andrés Loaiza de la Pava"/>
    <s v="Construcción de subjetividad política en jóvenes hoppers del Colectivo Distreestyle -cultura hip hop- Localidad de Bosa, Bogotá Un abordaje desde los Estudios Culturales"/>
    <x v="22"/>
    <m/>
    <s v="Juan Pablo Charry"/>
    <s v="Si"/>
    <m/>
    <s v="No aplicó plantilla, falta formato autorización, falta archivo tesis en pdf"/>
    <m/>
    <m/>
    <m/>
  </r>
  <r>
    <x v="1"/>
    <x v="10"/>
    <m/>
    <s v="Cristian Andrés Olaya García"/>
    <x v="4"/>
    <x v="2"/>
    <x v="2"/>
    <s v="Carlos Humberto Gonzáles Escobar"/>
    <s v="Análisis de los factores que generan conflictos ambientales por el uso y ocupación del suelo en el área de influencia del embalse del río bobo (Nariño – Colombia)"/>
    <x v="22"/>
    <m/>
    <s v="Harold Estiven García"/>
    <s v="Si"/>
    <m/>
    <m/>
    <m/>
    <m/>
    <m/>
  </r>
  <r>
    <x v="1"/>
    <x v="10"/>
    <m/>
    <s v="Vanessa Guerrero Benavides"/>
    <x v="4"/>
    <x v="2"/>
    <x v="2"/>
    <s v="Carlos Humberto Gonzáles Escobar"/>
    <s v="Análisis de los factores que generan conflictos ambientales por el uso y ocupación del suelo en el área de influencia del embalse del río bobo (Nariño – Colombia)"/>
    <x v="22"/>
    <m/>
    <s v="Harold Estiven García"/>
    <s v="Si"/>
    <m/>
    <m/>
    <m/>
    <m/>
    <m/>
  </r>
  <r>
    <x v="0"/>
    <x v="4"/>
    <m/>
    <s v="Sandra Mónica Garcés Viloria"/>
    <x v="4"/>
    <x v="2"/>
    <x v="2"/>
    <m/>
    <s v="Habilidades investigativas: una mirada que dota"/>
    <x v="22"/>
    <m/>
    <s v="Maria Eugenia Nieto"/>
    <s v="Si"/>
    <m/>
    <m/>
    <m/>
    <m/>
    <m/>
  </r>
  <r>
    <x v="0"/>
    <x v="4"/>
    <m/>
    <s v="Jhorman Alejandro Gómez Arroyave"/>
    <x v="4"/>
    <x v="2"/>
    <x v="2"/>
    <m/>
    <s v="Habilidades investigativas: una mirada que dota"/>
    <x v="22"/>
    <m/>
    <s v="Maria Eugenia Nieto"/>
    <s v="Si"/>
    <m/>
    <m/>
    <m/>
    <m/>
    <m/>
  </r>
  <r>
    <x v="0"/>
    <x v="4"/>
    <m/>
    <s v="María Camila Palacios Aldana"/>
    <x v="4"/>
    <x v="2"/>
    <x v="2"/>
    <m/>
    <s v="Habilidades investigativas: una mirada que dota"/>
    <x v="22"/>
    <m/>
    <s v="Maria Eugenia Nieto"/>
    <s v="Si"/>
    <m/>
    <m/>
    <m/>
    <m/>
    <m/>
  </r>
  <r>
    <x v="0"/>
    <x v="4"/>
    <m/>
    <s v="Christian Alexander Botina Cordoba"/>
    <x v="4"/>
    <x v="2"/>
    <x v="2"/>
    <m/>
    <s v="Estrategia didáctica de la voz cantada: lun estudio cuasiexperimental sobre el rendimiento vocal"/>
    <x v="22"/>
    <m/>
    <s v="Maria Eugenia Nieto"/>
    <s v="Si"/>
    <m/>
    <m/>
    <m/>
    <m/>
    <m/>
  </r>
  <r>
    <x v="0"/>
    <x v="4"/>
    <m/>
    <s v="Natalia Agudelo Restrepo"/>
    <x v="4"/>
    <x v="2"/>
    <x v="2"/>
    <m/>
    <s v="La Influencia de las Actividades Rectoras en el Fortalecimiento en las Habilidades Sociales en Niños de Transición."/>
    <x v="22"/>
    <m/>
    <s v="Maria Eugenia Nieto"/>
    <s v="Si"/>
    <m/>
    <m/>
    <m/>
    <m/>
    <m/>
  </r>
  <r>
    <x v="0"/>
    <x v="4"/>
    <m/>
    <s v="Michell Karime Hernández"/>
    <x v="4"/>
    <x v="2"/>
    <x v="2"/>
    <m/>
    <s v="La Influencia de las Actividades Rectoras en el Fortalecimiento en las Habilidades Sociales en Niños de Transición."/>
    <x v="22"/>
    <m/>
    <s v="Maria Eugenia Nieto"/>
    <s v="Si"/>
    <m/>
    <m/>
    <m/>
    <m/>
    <m/>
  </r>
  <r>
    <x v="3"/>
    <x v="5"/>
    <m/>
    <s v="Jhon Eddison Ortega Jacome"/>
    <x v="4"/>
    <x v="2"/>
    <x v="2"/>
    <m/>
    <s v="Biogobernanza del agua del Páramo de Santurbán: Saberes ancestrales, conflictos socioambientales y resiliencia comunitaria"/>
    <x v="22"/>
    <m/>
    <s v="Maria Eugenia Nieto"/>
    <s v="Si"/>
    <m/>
    <m/>
    <m/>
    <m/>
    <m/>
  </r>
  <r>
    <x v="0"/>
    <x v="4"/>
    <m/>
    <s v="Andrés Felipe Castro Torres"/>
    <x v="4"/>
    <x v="2"/>
    <x v="2"/>
    <m/>
    <s v="La gestión emocional docente: una práctica pedagógica que fomenta los entornos saludables"/>
    <x v="22"/>
    <m/>
    <s v="Maria Eugenia Nieto"/>
    <s v="Si"/>
    <m/>
    <m/>
    <m/>
    <m/>
    <m/>
  </r>
  <r>
    <x v="0"/>
    <x v="4"/>
    <m/>
    <m/>
    <x v="4"/>
    <x v="2"/>
    <x v="2"/>
    <m/>
    <m/>
    <x v="19"/>
    <m/>
    <m/>
    <m/>
    <m/>
    <m/>
    <m/>
    <m/>
    <m/>
  </r>
  <r>
    <x v="3"/>
    <x v="5"/>
    <m/>
    <m/>
    <x v="4"/>
    <x v="2"/>
    <x v="2"/>
    <m/>
    <m/>
    <x v="19"/>
    <m/>
    <m/>
    <m/>
    <m/>
    <m/>
    <m/>
    <m/>
    <m/>
  </r>
  <r>
    <x v="2"/>
    <x v="7"/>
    <m/>
    <s v="Yeison Pineda Castillo"/>
    <x v="4"/>
    <x v="2"/>
    <x v="2"/>
    <m/>
    <s v="GESTION FORESTAL EN LA LÍNEA DE MEDIA TENSIÓN DEL CIRCUITO"/>
    <x v="22"/>
    <m/>
    <s v="Maria Eugenia Nieto"/>
    <s v="Si"/>
    <m/>
    <m/>
    <m/>
    <m/>
    <m/>
  </r>
  <r>
    <x v="1"/>
    <x v="16"/>
    <n v="1053826684"/>
    <s v="Cristian Alberto Torres Carmona"/>
    <x v="2"/>
    <x v="2"/>
    <x v="2"/>
    <s v="Carlos David Cardona Arenas"/>
    <s v="VENTANA - GUAMO MEDIANTE ANALISIS SIG"/>
    <x v="22"/>
    <m/>
    <s v="Luz Andrea Sepúlveda"/>
    <s v="Si"/>
    <m/>
    <m/>
    <m/>
    <m/>
    <m/>
  </r>
  <r>
    <x v="4"/>
    <x v="29"/>
    <m/>
    <s v="Tatiana Reyes Giraldo"/>
    <x v="4"/>
    <x v="2"/>
    <x v="2"/>
    <s v="Cesar Augusto Jaramillo"/>
    <s v="Reforma laboral y su impacto en el mercado laboral colombiano "/>
    <x v="22"/>
    <m/>
    <s v="Harold Estiven García"/>
    <s v="Si"/>
    <m/>
    <m/>
    <m/>
    <m/>
    <m/>
  </r>
  <r>
    <x v="1"/>
    <x v="16"/>
    <n v="3054158538"/>
    <s v="Andrés Felipe Perdomo Jaramillo "/>
    <x v="4"/>
    <x v="2"/>
    <x v="2"/>
    <s v=" Ana Lucia Paque Salazar "/>
    <s v="Diseño de un modelo de productividad laboral que evalúa el impacto en la competitividad de las Mipymes de café especial en el Sur del departamento del Huila"/>
    <x v="22"/>
    <s v="Wilman Tangarife"/>
    <s v="Maria Eugenia Nieto"/>
    <s v="Si"/>
    <m/>
    <s v="Esta completo"/>
    <m/>
    <m/>
    <m/>
  </r>
  <r>
    <x v="1"/>
    <x v="1"/>
    <m/>
    <s v="Sarith Daneyi Bahos Torres"/>
    <x v="4"/>
    <x v="2"/>
    <x v="2"/>
    <m/>
    <s v="Influencia de los aspectos sociodemográficos, percepciones y características económicas de los empresarios de Popayán en la disposición a pagar el impuesto de renta"/>
    <x v="22"/>
    <m/>
    <s v="Maria Eugenia Nieto"/>
    <s v="Si"/>
    <m/>
    <m/>
    <m/>
    <m/>
    <m/>
  </r>
  <r>
    <x v="1"/>
    <x v="1"/>
    <m/>
    <s v="Yury Disney Patiño Meneses"/>
    <x v="4"/>
    <x v="2"/>
    <x v="2"/>
    <m/>
    <s v="Influencia de los aspectos sociodemográficos, percepciones y características económicas de los empresarios de Popayán en la disposición a pagar el impuesto de renta"/>
    <x v="22"/>
    <m/>
    <s v="Maria Eugenia Nieto"/>
    <s v="Si"/>
    <m/>
    <m/>
    <m/>
    <m/>
    <m/>
  </r>
  <r>
    <x v="0"/>
    <x v="12"/>
    <m/>
    <s v="René Hernández Toro"/>
    <x v="4"/>
    <x v="2"/>
    <x v="2"/>
    <s v="Nelson Rojas Suárez"/>
    <s v="La conservación de los niños, entre el cuidado y la ideología Las formas de la infancia desde el ideologema de cuidado en el siglo XIX "/>
    <x v="22"/>
    <m/>
    <s v="Harold Estiven García"/>
    <s v="Si"/>
    <m/>
    <m/>
    <m/>
    <m/>
    <m/>
  </r>
  <r>
    <x v="1"/>
    <x v="1"/>
    <n v="75069301"/>
    <s v="Andrés Hernán Rubio Gaviria"/>
    <x v="2"/>
    <x v="2"/>
    <x v="2"/>
    <m/>
    <s v="Incidencia del Sistema de Gestión de Calidad (SGC), establecido en la Norma Internacional de Gestión de Calidad (NIGC1), para la mejora continúa de los Procesos Tributarios de las Firmas de Auditorías, de Revisoría Fiscal y Profesionales Ejercientes Individuales (PEI)"/>
    <x v="22"/>
    <s v="Wilman Tangarife"/>
    <s v="Luz Andrea Sepúlveda"/>
    <s v="Si"/>
    <m/>
    <s v="Esta completo"/>
    <m/>
    <m/>
    <m/>
  </r>
  <r>
    <x v="1"/>
    <x v="1"/>
    <n v="30393856"/>
    <s v="Sandra Rubio Gaviria"/>
    <x v="2"/>
    <x v="2"/>
    <x v="2"/>
    <m/>
    <s v="Incidencia del Sistema de Gestión de Calidad (SGC), establecido en la Norma Internacional de Gestión de Calidad (NIGC1), para la mejora continúa de los Procesos Tributarios de las Firmas de Auditorías, de Revisoría Fiscal y Profesionales Ejercientes Individuales (PEI)"/>
    <x v="22"/>
    <s v="Wilman Tangarife"/>
    <s v="Luz Andrea Sepúlveda"/>
    <s v="Si"/>
    <m/>
    <s v="Esta completo"/>
    <m/>
    <m/>
    <m/>
  </r>
  <r>
    <x v="0"/>
    <x v="4"/>
    <n v="66848465"/>
    <s v="DORIS ELISA ARANGO MORENO"/>
    <x v="4"/>
    <x v="2"/>
    <x v="2"/>
    <m/>
    <s v="Trayectorias de vida y violencias en estudiantes extraedad de primaria de la Sede Francisco José de Caldas"/>
    <x v="22"/>
    <s v="Wilman Tangarife"/>
    <s v="Maria Eugenia Nieto"/>
    <s v="Si"/>
    <m/>
    <s v="Falta Titulo en la plantilla de autorización y acta de sustentación de  ALEXANDRA PEREA VELÁSQUEZ"/>
    <m/>
    <m/>
    <m/>
  </r>
  <r>
    <x v="0"/>
    <x v="4"/>
    <n v="66971341"/>
    <s v="ALEXANDRA PEREA VELÁSQUEZ"/>
    <x v="4"/>
    <x v="2"/>
    <x v="2"/>
    <m/>
    <s v="Trayectorias de vida y violencias en estudiantes extraedad de primaria de la Sede Francisco José de Caldas"/>
    <x v="22"/>
    <s v="Wilman Tangarife"/>
    <s v="Maria Eugenia Nieto"/>
    <s v="Si"/>
    <m/>
    <s v="Debe eliminar los comentarios en el ytrabajo"/>
    <m/>
    <m/>
    <m/>
  </r>
  <r>
    <x v="1"/>
    <x v="30"/>
    <m/>
    <s v="Laura Giraldo Yepes"/>
    <x v="2"/>
    <x v="2"/>
    <x v="2"/>
    <s v="Juan Francisco Espinosa"/>
    <s v="Percepción y alternativas de compra de vivienda como inversión en el sector inmobiliario en Colombia."/>
    <x v="24"/>
    <m/>
    <s v="Luz Andrea Sepúlveda"/>
    <s v="Si"/>
    <m/>
    <s v="registro adminsitrador de flujo"/>
    <m/>
    <m/>
    <m/>
  </r>
  <r>
    <x v="1"/>
    <x v="23"/>
    <m/>
    <s v="Lilia Patiño Hurtado"/>
    <x v="4"/>
    <x v="2"/>
    <x v="2"/>
    <s v="Alejandro Echeverri "/>
    <s v="Análisis de la gobernabilidad de la Comercialización de la minería de subsistencia en el Resguardo del Alto Andágueda. "/>
    <x v="24"/>
    <m/>
    <s v="Harold Estiven García"/>
    <s v="Si"/>
    <m/>
    <m/>
    <m/>
    <m/>
    <m/>
  </r>
  <r>
    <x v="1"/>
    <x v="21"/>
    <m/>
    <s v="Liceth Lorena Isaza López"/>
    <x v="4"/>
    <x v="2"/>
    <x v="2"/>
    <m/>
    <s v="Fintech as a Driver of Financial Inclusion: A Quantitative Study of Digital Demand and Impact in Colombia"/>
    <x v="25"/>
    <m/>
    <s v="Maria Eugenia Nieto"/>
    <s v="Si"/>
    <m/>
    <m/>
    <m/>
    <m/>
    <m/>
  </r>
  <r>
    <x v="1"/>
    <x v="21"/>
    <m/>
    <s v="Fausto Edward Moreno Rentería"/>
    <x v="4"/>
    <x v="2"/>
    <x v="2"/>
    <m/>
    <s v="Fintech as a Driver of Financial Inclusion: A Quantitative Study of Digital Demand and Impact in Colombia"/>
    <x v="24"/>
    <m/>
    <s v="Maria Eugenia Nieto"/>
    <s v="Si"/>
    <m/>
    <m/>
    <m/>
    <m/>
    <m/>
  </r>
  <r>
    <x v="0"/>
    <x v="6"/>
    <n v="1088281507"/>
    <s v="Laura María Cardona Cardona"/>
    <x v="2"/>
    <x v="2"/>
    <x v="2"/>
    <s v="Gloria Isaza de Gil"/>
    <s v="La Casa Pintada: Transformaciones estéticas y educativas de un colectivo artístico en contextos de exclusión social "/>
    <x v="24"/>
    <m/>
    <s v="Luz Andrea Sepúlveda"/>
    <s v="Si"/>
    <m/>
    <m/>
    <m/>
    <m/>
    <m/>
  </r>
  <r>
    <x v="0"/>
    <x v="6"/>
    <n v="34445904"/>
    <s v="Yeimy Bibiana Diaz Tenorio "/>
    <x v="2"/>
    <x v="2"/>
    <x v="2"/>
    <s v="Gloria Isaza de Gil"/>
    <s v="La Casa Pintada: Transformaciones estéticas y educativas de un colectivo artístico en contextos de exclusión social "/>
    <x v="25"/>
    <m/>
    <s v="Luz Andrea Sepúlveda"/>
    <s v="Si"/>
    <m/>
    <m/>
    <m/>
    <m/>
    <m/>
  </r>
  <r>
    <x v="0"/>
    <x v="6"/>
    <m/>
    <s v="Yeison Andres Perez Paz"/>
    <x v="4"/>
    <x v="2"/>
    <x v="2"/>
    <m/>
    <s v="Fortalecimiento de la lectura inferencial desde la diversidad: una propuesta didáctica basada en literatura afrodescendiente del cauca"/>
    <x v="24"/>
    <m/>
    <s v="Harold Estiven García"/>
    <s v="Si"/>
    <m/>
    <m/>
    <m/>
    <m/>
    <m/>
  </r>
  <r>
    <x v="0"/>
    <x v="6"/>
    <m/>
    <s v="Mar judith Tróchez"/>
    <x v="4"/>
    <x v="2"/>
    <x v="2"/>
    <m/>
    <s v="Fortalecimiento de la lectura inferencial desde la diversidad: una propuesta didáctica basada en literatura afrodescendiente del cauca"/>
    <x v="24"/>
    <m/>
    <s v="Harold Estiven García"/>
    <s v="Si"/>
    <m/>
    <m/>
    <m/>
    <m/>
    <m/>
  </r>
  <r>
    <x v="2"/>
    <x v="7"/>
    <m/>
    <s v="Luis Miguel Ardila "/>
    <x v="4"/>
    <x v="2"/>
    <x v="2"/>
    <s v="Ana María Giraldo Patiño"/>
    <s v="Análisis multitemporal del cambio en usos del suelo en San Vicente del Caguán, Caquetá, como insumo para actualizar el POT "/>
    <x v="24"/>
    <m/>
    <s v="Harold Estiven García"/>
    <s v="Si"/>
    <m/>
    <m/>
    <m/>
    <m/>
    <m/>
  </r>
  <r>
    <x v="2"/>
    <x v="7"/>
    <m/>
    <s v="Jorge Luis Paloma"/>
    <x v="4"/>
    <x v="2"/>
    <x v="2"/>
    <s v="Ana María Giraldo Patiño"/>
    <s v="Análisis multitemporal del cambio en usos del suelo en San Vicente del Caguán, Caquetá, como insumo para actualizar el POT "/>
    <x v="24"/>
    <m/>
    <s v="Harold Estiven García"/>
    <s v="Si"/>
    <m/>
    <m/>
    <m/>
    <m/>
    <m/>
  </r>
  <r>
    <x v="1"/>
    <x v="23"/>
    <m/>
    <s v="Jonatan Fernando Cadena Cortés"/>
    <x v="4"/>
    <x v="2"/>
    <x v="0"/>
    <s v="Luis Alberto Vargas Marín"/>
    <s v=" Gaiaputare: Pensar la tierra. Una aproximación ontológica desde la ecocontabilidad"/>
    <x v="24"/>
    <m/>
    <s v="Maria Eugenia Nieto"/>
    <s v="Si"/>
    <m/>
    <m/>
    <m/>
    <m/>
    <m/>
  </r>
  <r>
    <x v="2"/>
    <x v="31"/>
    <m/>
    <s v="Angie Loreni Villa Loaiza"/>
    <x v="4"/>
    <x v="2"/>
    <x v="0"/>
    <s v="Claudia Patricia Jimenez"/>
    <s v="Transformando la educación: herramientas tecnológicas para trabajar en el aula diversa"/>
    <x v="24"/>
    <m/>
    <s v="Harold Estiven García"/>
    <s v="Si"/>
    <m/>
    <s v="Comenta que le falta notas en sistema, por eso no ha generado paz y salvo en SIGUM - Trabajo de grado en RIDUM OK"/>
    <m/>
    <m/>
    <m/>
  </r>
  <r>
    <x v="1"/>
    <x v="8"/>
    <n v="1083872455"/>
    <s v="Aníbal Andrés Cabrera Calderón"/>
    <x v="4"/>
    <x v="2"/>
    <x v="2"/>
    <s v="Eduard Andrés Castaño Gil"/>
    <s v="Marketing Territorial y Turismo Verde en Pitalito, Huila: Validación de Estrategias Basadas en las Preferencias de los Turistas "/>
    <x v="24"/>
    <m/>
    <s v="Luz Andrea Sepúlveda"/>
    <s v="Si"/>
    <m/>
    <s v="Falta Titulo en la plantilla de autorización y algunos ajustes en el dto principal"/>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r>
    <x v="3"/>
    <x v="5"/>
    <m/>
    <m/>
    <x v="4"/>
    <x v="2"/>
    <x v="2"/>
    <m/>
    <m/>
    <x v="19"/>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B4C868E-4BA7-4BA9-A6E6-80CC6CC528C7}" name="N_AsesorRecursosAcademicos" cacheId="4025"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rowHeaderCaption="Asesor Académico">
  <location ref="C60:D67" firstHeaderRow="1" firstDataRow="1" firstDataCol="1"/>
  <pivotFields count="18">
    <pivotField showAll="0">
      <items count="8">
        <item x="5"/>
        <item x="1"/>
        <item x="2"/>
        <item x="4"/>
        <item m="1" x="6"/>
        <item x="0"/>
        <item x="3"/>
        <item t="default"/>
      </items>
    </pivotField>
    <pivotField showAll="0"/>
    <pivotField showAll="0"/>
    <pivotField showAll="0"/>
    <pivotField axis="axisRow" showAll="0">
      <items count="10">
        <item x="5"/>
        <item m="1" x="6"/>
        <item m="1" x="7"/>
        <item x="1"/>
        <item x="2"/>
        <item x="0"/>
        <item m="1" x="8"/>
        <item x="4"/>
        <item x="3"/>
        <item t="default"/>
      </items>
    </pivotField>
    <pivotField dataField="1" showAll="0">
      <items count="7">
        <item x="0"/>
        <item m="1" x="3"/>
        <item x="1"/>
        <item m="1" x="5"/>
        <item m="1" x="4"/>
        <item x="2"/>
        <item t="default"/>
      </items>
    </pivotField>
    <pivotField showAll="0">
      <items count="5">
        <item x="3"/>
        <item x="1"/>
        <item x="0"/>
        <item x="2"/>
        <item t="default"/>
      </items>
    </pivotField>
    <pivotField showAll="0"/>
    <pivotField showAll="0"/>
    <pivotField showAll="0">
      <items count="46">
        <item x="20"/>
        <item x="23"/>
        <item x="25"/>
        <item x="14"/>
        <item m="1" x="44"/>
        <item m="1" x="38"/>
        <item m="1" x="27"/>
        <item m="1" x="41"/>
        <item m="1" x="37"/>
        <item m="1" x="42"/>
        <item x="1"/>
        <item m="1" x="40"/>
        <item m="1" x="35"/>
        <item x="2"/>
        <item m="1" x="36"/>
        <item m="1" x="43"/>
        <item m="1" x="39"/>
        <item x="0"/>
        <item m="1" x="28"/>
        <item m="1" x="29"/>
        <item m="1" x="30"/>
        <item m="1" x="31"/>
        <item m="1" x="32"/>
        <item m="1" x="33"/>
        <item m="1" x="34"/>
        <item x="3"/>
        <item x="9"/>
        <item x="8"/>
        <item x="4"/>
        <item x="5"/>
        <item x="7"/>
        <item x="6"/>
        <item x="10"/>
        <item m="1" x="26"/>
        <item x="11"/>
        <item x="12"/>
        <item x="13"/>
        <item x="15"/>
        <item x="16"/>
        <item x="17"/>
        <item x="18"/>
        <item x="21"/>
        <item x="22"/>
        <item x="24"/>
        <item x="19"/>
        <item t="default"/>
      </items>
    </pivotField>
    <pivotField showAll="0"/>
    <pivotField showAll="0"/>
    <pivotField showAll="0"/>
    <pivotField showAll="0"/>
    <pivotField showAll="0"/>
    <pivotField showAll="0"/>
    <pivotField showAll="0"/>
    <pivotField showAll="0"/>
  </pivotFields>
  <rowFields count="1">
    <field x="4"/>
  </rowFields>
  <rowItems count="7">
    <i>
      <x/>
    </i>
    <i>
      <x v="3"/>
    </i>
    <i>
      <x v="4"/>
    </i>
    <i>
      <x v="5"/>
    </i>
    <i>
      <x v="7"/>
    </i>
    <i>
      <x v="8"/>
    </i>
    <i t="grand">
      <x/>
    </i>
  </rowItems>
  <colItems count="1">
    <i/>
  </colItems>
  <dataFields count="1">
    <dataField name="Cuenta de Nombre_Asesoría" fld="5" subtotal="count" baseField="0" baseItem="0"/>
  </dataFields>
  <formats count="5">
    <format dxfId="27">
      <pivotArea dataOnly="0" outline="0" axis="axisValues" fieldPosition="0"/>
    </format>
    <format dxfId="28">
      <pivotArea field="4" type="button" dataOnly="0" labelOnly="1" outline="0" axis="axisRow" fieldPosition="0"/>
    </format>
    <format dxfId="29">
      <pivotArea dataOnly="0" labelOnly="1" outline="0" axis="axisValues" fieldPosition="0"/>
    </format>
    <format dxfId="30">
      <pivotArea field="4" type="button" dataOnly="0" labelOnly="1" outline="0" axis="axisRow" fieldPosition="0"/>
    </format>
    <format dxfId="31">
      <pivotArea dataOnly="0" labelOnly="1" outline="0" axis="axisValues" fieldPosition="0"/>
    </format>
  </formats>
  <pivotTableStyleInfo name="PivotStyleLight2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E97A8CE-2248-4984-B009-39B32BE47361}" name="N_Aseroria" cacheId="4025"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rowHeaderCaption="Programa">
  <location ref="H59:I92" firstHeaderRow="1" firstDataRow="1" firstDataCol="1"/>
  <pivotFields count="18">
    <pivotField showAll="0">
      <items count="8">
        <item x="5"/>
        <item x="1"/>
        <item x="2"/>
        <item x="4"/>
        <item m="1" x="6"/>
        <item x="0"/>
        <item x="3"/>
        <item t="default"/>
      </items>
    </pivotField>
    <pivotField axis="axisRow" showAll="0">
      <items count="46">
        <item x="9"/>
        <item m="1" x="42"/>
        <item m="1" x="36"/>
        <item m="1" x="37"/>
        <item m="1" x="43"/>
        <item m="1" x="38"/>
        <item x="7"/>
        <item m="1" x="41"/>
        <item x="29"/>
        <item m="1" x="32"/>
        <item x="31"/>
        <item x="25"/>
        <item x="3"/>
        <item m="1" x="34"/>
        <item m="1" x="39"/>
        <item m="1" x="40"/>
        <item m="1" x="33"/>
        <item m="1" x="35"/>
        <item m="1" x="44"/>
        <item x="28"/>
        <item x="5"/>
        <item x="0"/>
        <item x="1"/>
        <item x="2"/>
        <item x="4"/>
        <item x="6"/>
        <item x="8"/>
        <item x="10"/>
        <item x="11"/>
        <item x="12"/>
        <item x="13"/>
        <item x="14"/>
        <item x="15"/>
        <item x="16"/>
        <item x="17"/>
        <item x="18"/>
        <item x="19"/>
        <item x="20"/>
        <item x="21"/>
        <item x="22"/>
        <item x="23"/>
        <item x="24"/>
        <item x="26"/>
        <item x="27"/>
        <item x="30"/>
        <item t="default"/>
      </items>
    </pivotField>
    <pivotField showAll="0"/>
    <pivotField showAll="0"/>
    <pivotField showAll="0"/>
    <pivotField dataField="1" showAll="0">
      <items count="7">
        <item x="0"/>
        <item m="1" x="3"/>
        <item x="1"/>
        <item m="1" x="5"/>
        <item m="1" x="4"/>
        <item x="2"/>
        <item t="default"/>
      </items>
    </pivotField>
    <pivotField showAll="0">
      <items count="5">
        <item x="3"/>
        <item x="1"/>
        <item x="0"/>
        <item x="2"/>
        <item t="default"/>
      </items>
    </pivotField>
    <pivotField showAll="0"/>
    <pivotField showAll="0"/>
    <pivotField showAll="0">
      <items count="46">
        <item x="20"/>
        <item x="23"/>
        <item x="25"/>
        <item x="14"/>
        <item m="1" x="44"/>
        <item m="1" x="38"/>
        <item m="1" x="27"/>
        <item m="1" x="41"/>
        <item m="1" x="37"/>
        <item m="1" x="42"/>
        <item x="1"/>
        <item m="1" x="40"/>
        <item m="1" x="35"/>
        <item x="2"/>
        <item m="1" x="36"/>
        <item m="1" x="43"/>
        <item m="1" x="39"/>
        <item x="0"/>
        <item m="1" x="28"/>
        <item m="1" x="29"/>
        <item m="1" x="30"/>
        <item m="1" x="31"/>
        <item m="1" x="32"/>
        <item m="1" x="33"/>
        <item m="1" x="34"/>
        <item x="3"/>
        <item x="9"/>
        <item x="8"/>
        <item x="4"/>
        <item x="5"/>
        <item x="7"/>
        <item x="6"/>
        <item x="10"/>
        <item m="1" x="26"/>
        <item x="11"/>
        <item x="12"/>
        <item x="13"/>
        <item x="15"/>
        <item x="16"/>
        <item x="17"/>
        <item x="18"/>
        <item x="21"/>
        <item x="22"/>
        <item x="24"/>
        <item x="19"/>
        <item t="default"/>
      </items>
    </pivotField>
    <pivotField showAll="0"/>
    <pivotField showAll="0"/>
    <pivotField showAll="0"/>
    <pivotField showAll="0"/>
    <pivotField showAll="0"/>
    <pivotField showAll="0"/>
    <pivotField showAll="0"/>
    <pivotField showAll="0"/>
  </pivotFields>
  <rowFields count="1">
    <field x="1"/>
  </rowFields>
  <rowItems count="33">
    <i>
      <x/>
    </i>
    <i>
      <x v="6"/>
    </i>
    <i>
      <x v="8"/>
    </i>
    <i>
      <x v="10"/>
    </i>
    <i>
      <x v="11"/>
    </i>
    <i>
      <x v="12"/>
    </i>
    <i>
      <x v="19"/>
    </i>
    <i>
      <x v="20"/>
    </i>
    <i>
      <x v="21"/>
    </i>
    <i>
      <x v="22"/>
    </i>
    <i>
      <x v="23"/>
    </i>
    <i>
      <x v="24"/>
    </i>
    <i>
      <x v="25"/>
    </i>
    <i>
      <x v="26"/>
    </i>
    <i>
      <x v="27"/>
    </i>
    <i>
      <x v="28"/>
    </i>
    <i>
      <x v="29"/>
    </i>
    <i>
      <x v="30"/>
    </i>
    <i>
      <x v="31"/>
    </i>
    <i>
      <x v="32"/>
    </i>
    <i>
      <x v="33"/>
    </i>
    <i>
      <x v="34"/>
    </i>
    <i>
      <x v="35"/>
    </i>
    <i>
      <x v="36"/>
    </i>
    <i>
      <x v="37"/>
    </i>
    <i>
      <x v="38"/>
    </i>
    <i>
      <x v="39"/>
    </i>
    <i>
      <x v="40"/>
    </i>
    <i>
      <x v="41"/>
    </i>
    <i>
      <x v="42"/>
    </i>
    <i>
      <x v="43"/>
    </i>
    <i>
      <x v="44"/>
    </i>
    <i t="grand">
      <x/>
    </i>
  </rowItems>
  <colItems count="1">
    <i/>
  </colItems>
  <dataFields count="1">
    <dataField name="Cuenta de Nombre_Asesoría" fld="5" subtotal="count" baseField="0" baseItem="0"/>
  </dataFields>
  <pivotTableStyleInfo name="PivotStyleLight2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935E631-4287-4CDB-9889-183BB8B32270}" name="TablaDinámica2" cacheId="4025"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0">
  <location ref="R1:S6" firstHeaderRow="1" firstDataRow="1" firstDataCol="1"/>
  <pivotFields count="18">
    <pivotField showAll="0"/>
    <pivotField showAll="0"/>
    <pivotField showAll="0"/>
    <pivotField showAll="0"/>
    <pivotField showAll="0"/>
    <pivotField dataField="1" showAll="0">
      <items count="7">
        <item x="0"/>
        <item m="1" x="3"/>
        <item x="1"/>
        <item m="1" x="5"/>
        <item m="1" x="4"/>
        <item x="2"/>
        <item t="default"/>
      </items>
    </pivotField>
    <pivotField axis="axisRow" showAll="0">
      <items count="5">
        <item x="1"/>
        <item x="0"/>
        <item x="2"/>
        <item x="3"/>
        <item t="default"/>
      </items>
    </pivotField>
    <pivotField showAll="0"/>
    <pivotField showAll="0"/>
    <pivotField showAll="0">
      <items count="46">
        <item x="20"/>
        <item x="23"/>
        <item x="25"/>
        <item x="14"/>
        <item m="1" x="44"/>
        <item m="1" x="38"/>
        <item m="1" x="27"/>
        <item m="1" x="41"/>
        <item m="1" x="37"/>
        <item m="1" x="42"/>
        <item x="1"/>
        <item m="1" x="40"/>
        <item m="1" x="35"/>
        <item x="2"/>
        <item m="1" x="36"/>
        <item m="1" x="43"/>
        <item m="1" x="39"/>
        <item x="0"/>
        <item m="1" x="28"/>
        <item m="1" x="29"/>
        <item m="1" x="30"/>
        <item m="1" x="31"/>
        <item m="1" x="32"/>
        <item m="1" x="33"/>
        <item m="1" x="34"/>
        <item x="3"/>
        <item x="9"/>
        <item x="8"/>
        <item x="4"/>
        <item x="5"/>
        <item x="7"/>
        <item x="6"/>
        <item x="10"/>
        <item m="1" x="26"/>
        <item x="11"/>
        <item x="12"/>
        <item x="13"/>
        <item x="15"/>
        <item x="16"/>
        <item x="17"/>
        <item x="18"/>
        <item x="21"/>
        <item x="22"/>
        <item x="24"/>
        <item x="19"/>
        <item t="default"/>
      </items>
    </pivotField>
    <pivotField showAll="0"/>
    <pivotField showAll="0"/>
    <pivotField showAll="0"/>
    <pivotField showAll="0"/>
    <pivotField showAll="0"/>
    <pivotField showAll="0"/>
    <pivotField showAll="0"/>
    <pivotField showAll="0"/>
  </pivotFields>
  <rowFields count="1">
    <field x="6"/>
  </rowFields>
  <rowItems count="5">
    <i>
      <x/>
    </i>
    <i>
      <x v="1"/>
    </i>
    <i>
      <x v="2"/>
    </i>
    <i>
      <x v="3"/>
    </i>
    <i t="grand">
      <x/>
    </i>
  </rowItems>
  <colItems count="1">
    <i/>
  </colItems>
  <dataFields count="1">
    <dataField name="Cuenta de Nombre_Asesoría" fld="5" subtotal="count" baseField="0" baseItem="0"/>
  </dataFields>
  <chartFormats count="5">
    <chartFormat chart="5" format="5" series="1">
      <pivotArea type="data" outline="0" fieldPosition="0">
        <references count="1">
          <reference field="4294967294" count="1" selected="0">
            <x v="0"/>
          </reference>
        </references>
      </pivotArea>
    </chartFormat>
    <chartFormat chart="5" format="6">
      <pivotArea type="data" outline="0" fieldPosition="0">
        <references count="2">
          <reference field="4294967294" count="1" selected="0">
            <x v="0"/>
          </reference>
          <reference field="6" count="1" selected="0">
            <x v="0"/>
          </reference>
        </references>
      </pivotArea>
    </chartFormat>
    <chartFormat chart="5" format="7">
      <pivotArea type="data" outline="0" fieldPosition="0">
        <references count="2">
          <reference field="4294967294" count="1" selected="0">
            <x v="0"/>
          </reference>
          <reference field="6" count="1" selected="0">
            <x v="1"/>
          </reference>
        </references>
      </pivotArea>
    </chartFormat>
    <chartFormat chart="5" format="8">
      <pivotArea type="data" outline="0" fieldPosition="0">
        <references count="2">
          <reference field="4294967294" count="1" selected="0">
            <x v="0"/>
          </reference>
          <reference field="6" count="1" selected="0">
            <x v="2"/>
          </reference>
        </references>
      </pivotArea>
    </chartFormat>
    <chartFormat chart="5" format="9">
      <pivotArea type="data" outline="0" fieldPosition="0">
        <references count="2">
          <reference field="4294967294" count="1" selected="0">
            <x v="0"/>
          </reference>
          <reference field="6"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88F3A6D-B4E6-44DB-996A-AAC6172559A5}" name="Tabla dinámica1" cacheId="4024"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R23:S56" firstHeaderRow="1" firstDataRow="1" firstDataCol="1"/>
  <pivotFields count="18">
    <pivotField compact="0" outline="0" showAll="0"/>
    <pivotField axis="axisRow" compact="0" outline="0" showAll="0">
      <items count="33">
        <item x="17"/>
        <item x="12"/>
        <item x="9"/>
        <item x="2"/>
        <item x="24"/>
        <item x="7"/>
        <item x="15"/>
        <item x="30"/>
        <item x="11"/>
        <item x="27"/>
        <item x="13"/>
        <item x="26"/>
        <item x="28"/>
        <item x="29"/>
        <item x="0"/>
        <item x="23"/>
        <item x="10"/>
        <item x="16"/>
        <item x="4"/>
        <item x="6"/>
        <item x="19"/>
        <item x="31"/>
        <item x="21"/>
        <item x="25"/>
        <item x="3"/>
        <item x="8"/>
        <item x="18"/>
        <item x="1"/>
        <item x="14"/>
        <item x="20"/>
        <item x="22"/>
        <item x="5"/>
        <item t="default"/>
      </items>
    </pivotField>
    <pivotField compact="0" outline="0" showAll="0"/>
    <pivotField compact="0" outline="0" showAll="0">
      <items count="234">
        <item x="176"/>
        <item x="107"/>
        <item x="175"/>
        <item x="90"/>
        <item x="149"/>
        <item x="148"/>
        <item x="0"/>
        <item x="13"/>
        <item x="133"/>
        <item x="8"/>
        <item x="219"/>
        <item x="17"/>
        <item x="207"/>
        <item x="196"/>
        <item x="142"/>
        <item x="212"/>
        <item x="30"/>
        <item x="84"/>
        <item x="216"/>
        <item x="4"/>
        <item x="160"/>
        <item x="158"/>
        <item x="231"/>
        <item x="111"/>
        <item x="49"/>
        <item x="100"/>
        <item x="36"/>
        <item x="232"/>
        <item x="53"/>
        <item x="25"/>
        <item x="28"/>
        <item x="170"/>
        <item x="119"/>
        <item x="5"/>
        <item x="72"/>
        <item x="174"/>
        <item x="116"/>
        <item x="167"/>
        <item x="203"/>
        <item x="102"/>
        <item x="179"/>
        <item x="88"/>
        <item x="210"/>
        <item x="200"/>
        <item x="146"/>
        <item x="186"/>
        <item x="178"/>
        <item x="166"/>
        <item x="66"/>
        <item x="55"/>
        <item x="67"/>
        <item x="147"/>
        <item x="144"/>
        <item x="95"/>
        <item x="71"/>
        <item x="40"/>
        <item x="75"/>
        <item x="21"/>
        <item x="197"/>
        <item x="194"/>
        <item x="93"/>
        <item x="104"/>
        <item x="68"/>
        <item x="99"/>
        <item x="187"/>
        <item x="11"/>
        <item x="218"/>
        <item x="115"/>
        <item x="41"/>
        <item x="45"/>
        <item x="96"/>
        <item x="109"/>
        <item x="15"/>
        <item x="103"/>
        <item x="223"/>
        <item x="173"/>
        <item x="121"/>
        <item x="195"/>
        <item x="47"/>
        <item x="3"/>
        <item x="87"/>
        <item x="34"/>
        <item x="7"/>
        <item x="145"/>
        <item x="16"/>
        <item x="113"/>
        <item x="151"/>
        <item x="77"/>
        <item x="78"/>
        <item x="106"/>
        <item x="9"/>
        <item x="206"/>
        <item x="164"/>
        <item x="165"/>
        <item x="39"/>
        <item x="191"/>
        <item x="29"/>
        <item x="26"/>
        <item x="51"/>
        <item x="230"/>
        <item x="153"/>
        <item x="65"/>
        <item x="229"/>
        <item x="91"/>
        <item x="52"/>
        <item x="161"/>
        <item x="82"/>
        <item x="143"/>
        <item x="136"/>
        <item x="134"/>
        <item x="124"/>
        <item x="157"/>
        <item x="125"/>
        <item x="120"/>
        <item x="126"/>
        <item x="171"/>
        <item x="61"/>
        <item x="86"/>
        <item x="59"/>
        <item x="43"/>
        <item x="123"/>
        <item x="101"/>
        <item x="37"/>
        <item x="185"/>
        <item x="85"/>
        <item x="2"/>
        <item x="12"/>
        <item x="114"/>
        <item x="189"/>
        <item x="162"/>
        <item x="48"/>
        <item x="190"/>
        <item x="163"/>
        <item x="220"/>
        <item x="80"/>
        <item x="94"/>
        <item x="224"/>
        <item x="27"/>
        <item x="31"/>
        <item x="138"/>
        <item x="58"/>
        <item x="33"/>
        <item x="127"/>
        <item x="182"/>
        <item x="222"/>
        <item x="221"/>
        <item x="76"/>
        <item x="73"/>
        <item x="140"/>
        <item x="110"/>
        <item x="24"/>
        <item x="22"/>
        <item x="97"/>
        <item x="137"/>
        <item x="155"/>
        <item x="228"/>
        <item x="64"/>
        <item x="23"/>
        <item x="6"/>
        <item x="141"/>
        <item x="35"/>
        <item x="135"/>
        <item x="227"/>
        <item x="69"/>
        <item x="74"/>
        <item x="54"/>
        <item x="193"/>
        <item x="202"/>
        <item x="81"/>
        <item x="131"/>
        <item x="70"/>
        <item x="156"/>
        <item x="46"/>
        <item x="205"/>
        <item x="198"/>
        <item x="83"/>
        <item x="172"/>
        <item x="118"/>
        <item x="117"/>
        <item x="168"/>
        <item x="204"/>
        <item x="184"/>
        <item x="92"/>
        <item x="159"/>
        <item x="56"/>
        <item x="112"/>
        <item x="60"/>
        <item x="129"/>
        <item x="199"/>
        <item x="215"/>
        <item x="10"/>
        <item x="108"/>
        <item x="122"/>
        <item x="42"/>
        <item x="105"/>
        <item x="18"/>
        <item x="14"/>
        <item x="139"/>
        <item x="130"/>
        <item x="192"/>
        <item x="217"/>
        <item x="213"/>
        <item x="32"/>
        <item x="44"/>
        <item x="57"/>
        <item x="154"/>
        <item x="211"/>
        <item x="183"/>
        <item x="152"/>
        <item x="1"/>
        <item x="150"/>
        <item x="201"/>
        <item x="89"/>
        <item x="38"/>
        <item x="50"/>
        <item x="20"/>
        <item x="98"/>
        <item x="169"/>
        <item x="132"/>
        <item x="128"/>
        <item x="225"/>
        <item x="226"/>
        <item x="188"/>
        <item x="209"/>
        <item x="177"/>
        <item x="180"/>
        <item x="79"/>
        <item x="62"/>
        <item x="19"/>
        <item x="181"/>
        <item x="63"/>
        <item x="214"/>
        <item x="208"/>
        <item t="default"/>
      </items>
    </pivotField>
    <pivotField compact="0" outline="0" showAll="0"/>
    <pivotField dataField="1"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1"/>
  </rowFields>
  <rowItems count="3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t="grand">
      <x/>
    </i>
  </rowItems>
  <colItems count="1">
    <i/>
  </colItems>
  <dataFields count="1">
    <dataField name="Cuenta de Nombre_Asesoría" fld="5"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5705FEC-9F5F-482F-9BA6-E2EE8050DA85}" name="TablaDinámica3" cacheId="4025"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8">
  <location ref="R11:S15" firstHeaderRow="1" firstDataRow="1" firstDataCol="1"/>
  <pivotFields count="18">
    <pivotField showAll="0">
      <items count="8">
        <item x="5"/>
        <item x="1"/>
        <item x="2"/>
        <item x="4"/>
        <item m="1" x="6"/>
        <item x="0"/>
        <item x="3"/>
        <item t="default"/>
      </items>
    </pivotField>
    <pivotField showAll="0"/>
    <pivotField showAll="0"/>
    <pivotField dataField="1" showAll="0"/>
    <pivotField showAll="0"/>
    <pivotField axis="axisRow" showAll="0">
      <items count="7">
        <item x="0"/>
        <item m="1" x="3"/>
        <item x="1"/>
        <item m="1" x="5"/>
        <item m="1" x="4"/>
        <item x="2"/>
        <item t="default"/>
      </items>
    </pivotField>
    <pivotField showAll="0">
      <items count="5">
        <item x="3"/>
        <item x="1"/>
        <item x="0"/>
        <item x="2"/>
        <item t="default"/>
      </items>
    </pivotField>
    <pivotField showAll="0"/>
    <pivotField showAll="0"/>
    <pivotField showAll="0">
      <items count="46">
        <item x="20"/>
        <item x="23"/>
        <item x="25"/>
        <item x="14"/>
        <item m="1" x="44"/>
        <item m="1" x="38"/>
        <item m="1" x="27"/>
        <item m="1" x="41"/>
        <item m="1" x="37"/>
        <item m="1" x="42"/>
        <item x="1"/>
        <item m="1" x="40"/>
        <item m="1" x="35"/>
        <item x="2"/>
        <item m="1" x="36"/>
        <item m="1" x="43"/>
        <item m="1" x="39"/>
        <item x="0"/>
        <item m="1" x="28"/>
        <item m="1" x="29"/>
        <item m="1" x="30"/>
        <item m="1" x="31"/>
        <item m="1" x="32"/>
        <item m="1" x="33"/>
        <item m="1" x="34"/>
        <item x="3"/>
        <item x="9"/>
        <item x="8"/>
        <item x="4"/>
        <item x="5"/>
        <item x="7"/>
        <item x="6"/>
        <item x="10"/>
        <item m="1" x="26"/>
        <item x="11"/>
        <item x="12"/>
        <item x="13"/>
        <item x="15"/>
        <item x="16"/>
        <item x="17"/>
        <item x="18"/>
        <item x="21"/>
        <item x="22"/>
        <item x="24"/>
        <item x="19"/>
        <item t="default"/>
      </items>
    </pivotField>
    <pivotField showAll="0"/>
    <pivotField showAll="0"/>
    <pivotField showAll="0"/>
    <pivotField showAll="0"/>
    <pivotField showAll="0"/>
    <pivotField showAll="0"/>
    <pivotField showAll="0"/>
    <pivotField showAll="0"/>
  </pivotFields>
  <rowFields count="1">
    <field x="5"/>
  </rowFields>
  <rowItems count="4">
    <i>
      <x/>
    </i>
    <i>
      <x v="2"/>
    </i>
    <i>
      <x v="5"/>
    </i>
    <i t="grand">
      <x/>
    </i>
  </rowItems>
  <colItems count="1">
    <i/>
  </colItems>
  <dataFields count="1">
    <dataField name="Cuenta de Nombre_Usuario" fld="3" subtotal="count" baseField="0" baseItem="0"/>
  </dataFields>
  <chartFormats count="7">
    <chartFormat chart="5" format="8" series="1">
      <pivotArea type="data" outline="0" fieldPosition="0">
        <references count="1">
          <reference field="4294967294" count="1" selected="0">
            <x v="0"/>
          </reference>
        </references>
      </pivotArea>
    </chartFormat>
    <chartFormat chart="5" format="9">
      <pivotArea type="data" outline="0" fieldPosition="0">
        <references count="2">
          <reference field="4294967294" count="1" selected="0">
            <x v="0"/>
          </reference>
          <reference field="5" count="1" selected="0">
            <x v="0"/>
          </reference>
        </references>
      </pivotArea>
    </chartFormat>
    <chartFormat chart="5" format="10">
      <pivotArea type="data" outline="0" fieldPosition="0">
        <references count="2">
          <reference field="4294967294" count="1" selected="0">
            <x v="0"/>
          </reference>
          <reference field="5" count="1" selected="0">
            <x v="1"/>
          </reference>
        </references>
      </pivotArea>
    </chartFormat>
    <chartFormat chart="5" format="11">
      <pivotArea type="data" outline="0" fieldPosition="0">
        <references count="2">
          <reference field="4294967294" count="1" selected="0">
            <x v="0"/>
          </reference>
          <reference field="5" count="1" selected="0">
            <x v="2"/>
          </reference>
        </references>
      </pivotArea>
    </chartFormat>
    <chartFormat chart="5" format="12">
      <pivotArea type="data" outline="0" fieldPosition="0">
        <references count="2">
          <reference field="4294967294" count="1" selected="0">
            <x v="0"/>
          </reference>
          <reference field="5" count="1" selected="0">
            <x v="3"/>
          </reference>
        </references>
      </pivotArea>
    </chartFormat>
    <chartFormat chart="5" format="13">
      <pivotArea type="data" outline="0" fieldPosition="0">
        <references count="2">
          <reference field="4294967294" count="1" selected="0">
            <x v="0"/>
          </reference>
          <reference field="5" count="1" selected="0">
            <x v="4"/>
          </reference>
        </references>
      </pivotArea>
    </chartFormat>
    <chartFormat chart="5" format="14">
      <pivotArea type="data" outline="0" fieldPosition="0">
        <references count="2">
          <reference field="4294967294" count="1" selected="0">
            <x v="0"/>
          </reference>
          <reference field="5"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E4BADF8-0865-464E-9DC9-3D25FFF9FDF7}" name="TablaDinámica10" cacheId="4025"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1">
  <location ref="H13:O15" firstHeaderRow="1" firstDataRow="2" firstDataCol="1"/>
  <pivotFields count="18">
    <pivotField name="Nombre de la Facultad" axis="axisCol" showAll="0">
      <items count="8">
        <item x="1"/>
        <item x="2"/>
        <item x="4"/>
        <item m="1" x="6"/>
        <item x="0"/>
        <item x="3"/>
        <item x="5"/>
        <item t="default"/>
      </items>
    </pivotField>
    <pivotField showAll="0"/>
    <pivotField showAll="0"/>
    <pivotField showAll="0"/>
    <pivotField showAll="0"/>
    <pivotField dataField="1" showAll="0">
      <items count="7">
        <item x="0"/>
        <item m="1" x="3"/>
        <item x="1"/>
        <item m="1" x="5"/>
        <item m="1" x="4"/>
        <item x="2"/>
        <item t="default"/>
      </items>
    </pivotField>
    <pivotField showAll="0">
      <items count="5">
        <item x="3"/>
        <item x="1"/>
        <item x="0"/>
        <item x="2"/>
        <item t="default"/>
      </items>
    </pivotField>
    <pivotField showAll="0"/>
    <pivotField showAll="0"/>
    <pivotField showAll="0">
      <items count="46">
        <item x="20"/>
        <item x="23"/>
        <item x="25"/>
        <item x="14"/>
        <item m="1" x="44"/>
        <item m="1" x="38"/>
        <item m="1" x="27"/>
        <item m="1" x="41"/>
        <item m="1" x="37"/>
        <item m="1" x="42"/>
        <item x="1"/>
        <item m="1" x="40"/>
        <item m="1" x="35"/>
        <item x="2"/>
        <item m="1" x="36"/>
        <item m="1" x="43"/>
        <item m="1" x="39"/>
        <item x="0"/>
        <item m="1" x="28"/>
        <item m="1" x="29"/>
        <item m="1" x="30"/>
        <item m="1" x="31"/>
        <item m="1" x="32"/>
        <item m="1" x="33"/>
        <item m="1" x="34"/>
        <item x="3"/>
        <item x="9"/>
        <item x="8"/>
        <item x="4"/>
        <item x="5"/>
        <item x="7"/>
        <item x="6"/>
        <item x="10"/>
        <item m="1" x="26"/>
        <item x="11"/>
        <item x="12"/>
        <item x="13"/>
        <item x="15"/>
        <item x="16"/>
        <item x="17"/>
        <item x="18"/>
        <item x="21"/>
        <item x="22"/>
        <item x="24"/>
        <item x="19"/>
        <item t="default"/>
      </items>
    </pivotField>
    <pivotField showAll="0"/>
    <pivotField showAll="0"/>
    <pivotField showAll="0"/>
    <pivotField showAll="0"/>
    <pivotField showAll="0"/>
    <pivotField showAll="0"/>
    <pivotField showAll="0"/>
    <pivotField showAll="0"/>
  </pivotFields>
  <rowItems count="1">
    <i/>
  </rowItems>
  <colFields count="1">
    <field x="0"/>
  </colFields>
  <colItems count="7">
    <i>
      <x/>
    </i>
    <i>
      <x v="1"/>
    </i>
    <i>
      <x v="2"/>
    </i>
    <i>
      <x v="4"/>
    </i>
    <i>
      <x v="5"/>
    </i>
    <i>
      <x v="6"/>
    </i>
    <i t="grand">
      <x/>
    </i>
  </colItems>
  <dataFields count="1">
    <dataField name="Número de Asesorías" fld="5" subtotal="count" baseField="0" baseItem="0"/>
  </dataFields>
  <chartFormats count="8">
    <chartFormat chart="9" format="11" series="1">
      <pivotArea type="data" outline="0" fieldPosition="0">
        <references count="2">
          <reference field="4294967294" count="1" selected="0">
            <x v="0"/>
          </reference>
          <reference field="0" count="1" selected="0">
            <x v="0"/>
          </reference>
        </references>
      </pivotArea>
    </chartFormat>
    <chartFormat chart="9" format="12" series="1">
      <pivotArea type="data" outline="0" fieldPosition="0">
        <references count="2">
          <reference field="4294967294" count="1" selected="0">
            <x v="0"/>
          </reference>
          <reference field="0" count="1" selected="0">
            <x v="1"/>
          </reference>
        </references>
      </pivotArea>
    </chartFormat>
    <chartFormat chart="9" format="13" series="1">
      <pivotArea type="data" outline="0" fieldPosition="0">
        <references count="2">
          <reference field="4294967294" count="1" selected="0">
            <x v="0"/>
          </reference>
          <reference field="0" count="1" selected="0">
            <x v="2"/>
          </reference>
        </references>
      </pivotArea>
    </chartFormat>
    <chartFormat chart="9" format="14" series="1">
      <pivotArea type="data" outline="0" fieldPosition="0">
        <references count="2">
          <reference field="4294967294" count="1" selected="0">
            <x v="0"/>
          </reference>
          <reference field="0" count="1" selected="0">
            <x v="3"/>
          </reference>
        </references>
      </pivotArea>
    </chartFormat>
    <chartFormat chart="9" format="15" series="1">
      <pivotArea type="data" outline="0" fieldPosition="0">
        <references count="2">
          <reference field="4294967294" count="1" selected="0">
            <x v="0"/>
          </reference>
          <reference field="0" count="1" selected="0">
            <x v="4"/>
          </reference>
        </references>
      </pivotArea>
    </chartFormat>
    <chartFormat chart="9" format="16" series="1">
      <pivotArea type="data" outline="0" fieldPosition="0">
        <references count="2">
          <reference field="4294967294" count="1" selected="0">
            <x v="0"/>
          </reference>
          <reference field="0" count="1" selected="0">
            <x v="5"/>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2">
          <reference field="4294967294" count="1" selected="0">
            <x v="0"/>
          </reference>
          <reference field="0"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Nombre_Facultad" xr10:uid="{ADAAC6B3-BD85-4062-811B-92E081300CA8}" sourceName="Nombre_Facultad">
  <pivotTables>
    <pivotTable tabId="7" name="TablaDinámica10"/>
    <pivotTable tabId="6" name="N_Aseroria"/>
    <pivotTable tabId="6" name="N_AsesorRecursosAcademicos"/>
    <pivotTable tabId="7" name="TablaDinámica3"/>
  </pivotTables>
  <data>
    <tabular pivotCacheId="904172159">
      <items count="7">
        <i x="5" s="1"/>
        <i x="1" s="1"/>
        <i x="2" s="1"/>
        <i x="4" s="1"/>
        <i x="0" s="1"/>
        <i x="3" s="1"/>
        <i x="6"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odalidad_Asesoría" xr10:uid="{6AF5A81C-C086-4AC4-8D5D-836F04B68B92}" sourceName="Modalidad_Asesoría">
  <pivotTables>
    <pivotTable tabId="7" name="TablaDinámica10"/>
    <pivotTable tabId="7" name="TablaDinámica2"/>
    <pivotTable tabId="6" name="N_Aseroria"/>
    <pivotTable tabId="6" name="N_AsesorRecursosAcademicos"/>
    <pivotTable tabId="7" name="TablaDinámica3"/>
  </pivotTables>
  <data>
    <tabular pivotCacheId="904172159">
      <items count="4">
        <i x="3" s="1"/>
        <i x="1" s="1"/>
        <i x="0"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Fecha" xr10:uid="{CD7C531D-117E-4202-B9A4-2CAEA0710569}" sourceName="Fecha">
  <pivotTables>
    <pivotTable tabId="7" name="TablaDinámica10"/>
    <pivotTable tabId="7" name="TablaDinámica2"/>
    <pivotTable tabId="6" name="N_Aseroria"/>
    <pivotTable tabId="6" name="N_AsesorRecursosAcademicos"/>
    <pivotTable tabId="7" name="TablaDinámica3"/>
  </pivotTables>
  <data>
    <tabular pivotCacheId="904172159">
      <items count="45">
        <i x="20" s="1"/>
        <i x="23" s="1"/>
        <i x="25" s="1"/>
        <i x="14" s="1"/>
        <i x="1" s="1"/>
        <i x="2" s="1"/>
        <i x="0" s="1"/>
        <i x="3" s="1"/>
        <i x="9" s="1"/>
        <i x="8" s="1"/>
        <i x="4" s="1"/>
        <i x="5" s="1"/>
        <i x="7" s="1"/>
        <i x="6" s="1"/>
        <i x="10" s="1"/>
        <i x="11" s="1"/>
        <i x="12" s="1"/>
        <i x="13" s="1"/>
        <i x="15" s="1"/>
        <i x="16" s="1"/>
        <i x="17" s="1"/>
        <i x="18" s="1"/>
        <i x="21" s="1"/>
        <i x="22" s="1"/>
        <i x="24" s="1"/>
        <i x="19" s="1"/>
        <i x="44" s="1" nd="1"/>
        <i x="38" s="1" nd="1"/>
        <i x="27" s="1" nd="1"/>
        <i x="41" s="1" nd="1"/>
        <i x="37" s="1" nd="1"/>
        <i x="42" s="1" nd="1"/>
        <i x="40" s="1" nd="1"/>
        <i x="35" s="1" nd="1"/>
        <i x="36" s="1" nd="1"/>
        <i x="43" s="1" nd="1"/>
        <i x="39" s="1" nd="1"/>
        <i x="28" s="1" nd="1"/>
        <i x="29" s="1" nd="1"/>
        <i x="30" s="1" nd="1"/>
        <i x="31" s="1" nd="1"/>
        <i x="32" s="1" nd="1"/>
        <i x="33" s="1" nd="1"/>
        <i x="34" s="1" nd="1"/>
        <i x="26"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Nombre_Asesoría" xr10:uid="{CE6D5400-F683-450F-B90C-FFEEC74DCE82}" sourceName="Nombre_Asesoría">
  <pivotTables>
    <pivotTable tabId="7" name="TablaDinámica3"/>
    <pivotTable tabId="6" name="N_Aseroria"/>
    <pivotTable tabId="6" name="N_AsesorRecursosAcademicos"/>
    <pivotTable tabId="7" name="TablaDinámica10"/>
    <pivotTable tabId="7" name="TablaDinámica2"/>
  </pivotTables>
  <data>
    <tabular pivotCacheId="904172159">
      <items count="6">
        <i x="0" s="1"/>
        <i x="1" s="1"/>
        <i x="2" s="1"/>
        <i x="3" s="1" nd="1"/>
        <i x="5" s="1" nd="1"/>
        <i x="4"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ombre de la Facultad" xr10:uid="{CEE22FF0-B112-4F66-82A0-70014557D75A}" cache="SegmentaciónDeDatos_Nombre_Facultad" caption="Nombre de la Facultad" startItem="1" style="SlicerStyleDark3" rowHeight="257175"/>
  <slicer name="Modalidad_Asesoría" xr10:uid="{1113AD2E-ACA3-4A67-A6D9-E58ED190CB74}" cache="SegmentaciónDeDatos_Modalidad_Asesoría" caption="Modalidad_Asesoría" style="SlicerStyleDark3" rowHeight="257175"/>
  <slicer name="Fecha" xr10:uid="{B43BCB88-7C9C-4124-84BF-8FAC29F9FC53}" cache="SegmentaciónDeDatos_Fecha" caption="Fecha" style="SlicerStyleDark3" rowHeight="257175"/>
  <slicer name="Nombre_Asesoría" xr10:uid="{02806FE7-F8D3-479E-98EB-147480207111}" cache="SegmentaciónDeDatos_Nombre_Asesoría" caption="Nombre_Asesoría" style="SlicerStyleDark3"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A0C822F-D069-4D9C-A689-6262CBDFAA08}" name="Tabla1" displayName="Tabla1" ref="A1:B1048576" totalsRowShown="0">
  <autoFilter ref="A1:B1048576" xr:uid="{8A0C822F-D069-4D9C-A689-6262CBDFAA08}"/>
  <tableColumns count="2">
    <tableColumn id="1" xr3:uid="{029280DA-086E-47D9-A213-366014DC18DA}" name="Codigo_Facultad"/>
    <tableColumn id="2" xr3:uid="{55A2EA20-FE18-4284-A9C8-DC2F38BCAA8B}" name="Nombre_Faculta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155913-E77D-4005-9B4C-2671CFB6719B}" name="Tabla2" displayName="Tabla2" ref="A1:C1048576" totalsRowShown="0">
  <autoFilter ref="A1:C1048576" xr:uid="{59155913-E77D-4005-9B4C-2671CFB6719B}"/>
  <tableColumns count="3">
    <tableColumn id="1" xr3:uid="{D3D0A644-8344-4832-BBD0-423A6DAC9359}" name="Código_Facultad"/>
    <tableColumn id="2" xr3:uid="{EBFA1AFC-C889-4888-95E8-58DBF66C321F}" name="Código_Programa" dataDxfId="26"/>
    <tableColumn id="3" xr3:uid="{09EB0EB1-5B30-4225-B18A-9F17ACFED13C}" name="Nombre_Programa"/>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F0034EB-689C-48E9-962E-83557EEF5DE5}" name="Tabla3" displayName="Tabla3" ref="A1:R647" totalsRowShown="0" headerRowDxfId="25" dataDxfId="24" headerRowBorderDxfId="22" tableBorderDxfId="23">
  <autoFilter ref="A1:R647" xr:uid="{BF0034EB-689C-48E9-962E-83557EEF5DE5}"/>
  <sortState xmlns:xlrd2="http://schemas.microsoft.com/office/spreadsheetml/2017/richdata2" ref="A2:O41">
    <sortCondition ref="H1:H41"/>
  </sortState>
  <tableColumns count="18">
    <tableColumn id="1" xr3:uid="{23CD62B8-C3DD-419A-AA21-682482711877}" name="Nombre_Facultad" dataDxfId="21"/>
    <tableColumn id="2" xr3:uid="{06A774E3-DCBC-4624-AE8F-D22651C2C4B5}" name="Nombre_Programa" dataDxfId="20"/>
    <tableColumn id="3" xr3:uid="{138F4EA4-8D86-4685-8802-377A217B93CE}" name="Cédula" dataDxfId="19"/>
    <tableColumn id="4" xr3:uid="{22202181-22CF-4586-8C1A-3EFC74EBF8EF}" name="Nombre_Usuario" dataDxfId="18"/>
    <tableColumn id="5" xr3:uid="{660D9922-75C9-423C-B085-28C346E7153B}" name="Asesor_Recursos_Académicos" dataDxfId="17"/>
    <tableColumn id="6" xr3:uid="{376F8EE5-7213-48E3-A6DB-56F9CD801361}" name="Nombre_Asesoría" dataDxfId="16"/>
    <tableColumn id="7" xr3:uid="{9565625B-FDCA-48DB-8530-3B5C102F3650}" name="Modalidad" dataDxfId="15"/>
    <tableColumn id="8" xr3:uid="{7CDF8C89-67D6-4130-8EFF-6F0146CA2A91}" name="Asesor_Metodológico, Modalidad_Asesoría2, Asesor_Metodológico, Modalidad_Asesoría2" dataDxfId="14"/>
    <tableColumn id="9" xr3:uid="{9597E5A8-A085-4CC5-902F-AEA3EB5950A7}" name="Título_Trabajo_Grado" dataDxfId="13"/>
    <tableColumn id="10" xr3:uid="{B1FA7ED1-FB53-4AC9-98CC-FC70493D6F78}" name="Fecha" dataDxfId="12"/>
    <tableColumn id="17" xr3:uid="{B9D580D2-1C26-48BB-8A66-3A5D4098BC9C}" name="Revisión Inicial" dataDxfId="11"/>
    <tableColumn id="16" xr3:uid="{D16404D5-EB27-44FB-B645-9BAB927ADE96}" name="Revisión plantilla" dataDxfId="10"/>
    <tableColumn id="12" xr3:uid="{9E96FD71-00C3-4B3A-AAAE-23DB5D0EEBBF}" name="Ok_Referencistas" dataDxfId="9"/>
    <tableColumn id="18" xr3:uid="{7C68A938-254D-4432-9A9C-6AA0DEC5A78C}" name="OK_Servicios" dataDxfId="8"/>
    <tableColumn id="11" xr3:uid="{DD199200-6693-4118-901B-68FAD709D64C}" name="Observaciones" dataDxfId="7"/>
    <tableColumn id="13" xr3:uid="{245427FA-E412-48C0-ABC2-4219899AB501}" name="Escaneado Turnitin" dataDxfId="6"/>
    <tableColumn id="14" xr3:uid="{88A9179D-5B20-4495-B737-B5C593CF1280}" name="% similitud" dataDxfId="5"/>
    <tableColumn id="19" xr3:uid="{D960EF02-2C69-4F8D-B9D3-9307DB9B39E6}" name="Aprobación_Similitud" dataDxfId="4"/>
  </tableColumns>
  <tableStyleInfo name="TableStyleLight1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4399210-7FA0-44C5-A239-26D6EB567B2C}" name="Tabla4" displayName="Tabla4" ref="A1:E1048576" totalsRowShown="0" headerRowDxfId="3" headerRowBorderDxfId="2">
  <autoFilter ref="A1:E1048576" xr:uid="{24399210-7FA0-44C5-A239-26D6EB567B2C}"/>
  <tableColumns count="5">
    <tableColumn id="1" xr3:uid="{37E9A3FA-CF5B-44B2-B679-14A7E4640B9B}" name="Facultad_Ciencias_Contables_Económicas_Administrativas"/>
    <tableColumn id="2" xr3:uid="{34236BC1-88A7-4204-AB70-0DEA482EC046}" name="Facultad_Ciencias_Salud"/>
    <tableColumn id="3" xr3:uid="{B22941BF-C441-4E88-B06F-B00CD48AD4F5}" name="Facultad_Ciencias_Ingenierías"/>
    <tableColumn id="4" xr3:uid="{01265B52-71A0-4733-90BB-07B315FA6E84}" name="Facultad_Ciencias_Jurídicas"/>
    <tableColumn id="5" xr3:uid="{E6254812-BB4D-49E5-AB4B-52B5630605EA}" name="Facultad_Ciencias_Sociales_Humana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1A0DB2F-0D09-49DB-B585-86F4FABFE37F}" name="Tabla5" displayName="Tabla5" ref="H1:H8" totalsRowShown="0">
  <autoFilter ref="H1:H8" xr:uid="{21A0DB2F-0D09-49DB-B585-86F4FABFE37F}"/>
  <tableColumns count="1">
    <tableColumn id="1" xr3:uid="{A36F338C-A790-4833-A547-09EF5167E706}" name="Asesor_Recursos_Académico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5A5E1ED-90A7-4AAF-ACAE-1061D4019ACE}" name="Tabla6" displayName="Tabla6" ref="J1:J3" totalsRowShown="0">
  <autoFilter ref="J1:J3" xr:uid="{75A5E1ED-90A7-4AAF-ACAE-1061D4019ACE}"/>
  <tableColumns count="1">
    <tableColumn id="1" xr3:uid="{D9983952-2942-4293-A207-C9B456EFC987}" name="Modalidad_Asesoría"/>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89717EA-CC7C-4BCF-BA99-73A3753EF8FA}" name="Tabla7" displayName="Tabla7" ref="L1:L7" totalsRowShown="0" dataDxfId="1">
  <autoFilter ref="L1:L7" xr:uid="{089717EA-CC7C-4BCF-BA99-73A3753EF8FA}"/>
  <tableColumns count="1">
    <tableColumn id="1" xr3:uid="{7FCD48D0-99F2-46AA-A002-A3FAFF81E978}" name="Nombre_Asesoría"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2.xml"/></Relationships>
</file>

<file path=xl/webextensions/_rels/webextension1.xml.rels><?xml version="1.0" encoding="UTF-8" standalone="yes"?>
<Relationships xmlns="http://schemas.openxmlformats.org/package/2006/relationships"><Relationship Id="rId1" Type="http://schemas.openxmlformats.org/officeDocument/2006/relationships/image" Target="../media/image1.png"/></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B6A953A-5481-A615-609C-365A932A798E}">
  <we:reference id="wa102957665" version="1.3.0.0" store="es-ES" storeType="OMEX"/>
  <we:alternateReferences>
    <we:reference id="WA102957665" version="1.3.0.0" store="WA102957665" storeType="OMEX"/>
  </we:alternateReferences>
  <we:properties/>
  <we:bindings/>
  <we:snapshot xmlns:r="http://schemas.openxmlformats.org/officeDocument/2006/relationships" r:embed="rId1"/>
</we:webextension>
</file>

<file path=xl/webextensions/webextension2.xml><?xml version="1.0" encoding="utf-8"?>
<we:webextension xmlns:we="http://schemas.microsoft.com/office/webextensions/webextension/2010/11" id="{C79FCCD4-DD64-45B0-8F41-490524EE8C57}">
  <we:reference id="wa104199815" version="1.0.0.1" store="es-ES" storeType="OMEX"/>
  <we:alternateReferences>
    <we:reference id="WA104199815" version="1.0.0.1" store="WA104199815"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5" Type="http://schemas.openxmlformats.org/officeDocument/2006/relationships/printerSettings" Target="../printerSettings/printerSettings2.bin"/><Relationship Id="rId4" Type="http://schemas.openxmlformats.org/officeDocument/2006/relationships/pivotTable" Target="../pivotTables/pivot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4"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95572A-F833-40BF-ABEB-DC0CB71A2B4C}">
  <sheetPr codeName="Hoja3"/>
  <dimension ref="A1:J107"/>
  <sheetViews>
    <sheetView zoomScaleNormal="100" workbookViewId="0">
      <selection activeCell="C64" sqref="C64"/>
    </sheetView>
  </sheetViews>
  <sheetFormatPr defaultColWidth="11.42578125" defaultRowHeight="15"/>
  <cols>
    <col min="1" max="1" width="11.42578125" customWidth="1"/>
    <col min="2" max="2" width="26.42578125" customWidth="1"/>
    <col min="3" max="3" width="23.140625" style="10" bestFit="1" customWidth="1"/>
    <col min="4" max="4" width="10.85546875" bestFit="1" customWidth="1"/>
    <col min="5" max="5" width="20.42578125" bestFit="1" customWidth="1"/>
    <col min="6" max="6" width="20.7109375" customWidth="1"/>
    <col min="7" max="7" width="22.85546875" customWidth="1"/>
    <col min="8" max="8" width="53.7109375" bestFit="1" customWidth="1"/>
    <col min="9" max="9" width="26" bestFit="1" customWidth="1"/>
    <col min="10" max="10" width="33.140625" customWidth="1"/>
    <col min="11" max="11" width="70" bestFit="1" customWidth="1"/>
    <col min="12" max="12" width="20.42578125" bestFit="1" customWidth="1"/>
  </cols>
  <sheetData>
    <row r="1" spans="1:10">
      <c r="A1" s="18"/>
      <c r="B1" s="18"/>
      <c r="C1" s="19"/>
      <c r="D1" s="18"/>
      <c r="E1" s="18"/>
      <c r="F1" s="18"/>
      <c r="G1" s="18"/>
      <c r="H1" s="18"/>
      <c r="I1" s="18"/>
      <c r="J1" s="18"/>
    </row>
    <row r="2" spans="1:10">
      <c r="A2" s="18"/>
      <c r="B2" s="18"/>
      <c r="C2" s="19"/>
      <c r="D2" s="18"/>
      <c r="E2" s="18"/>
      <c r="F2" s="18"/>
      <c r="G2" s="18"/>
      <c r="H2" s="18"/>
      <c r="I2" s="18"/>
      <c r="J2" s="18"/>
    </row>
    <row r="3" spans="1:10">
      <c r="A3" s="18"/>
      <c r="B3" s="18"/>
      <c r="C3" s="19"/>
      <c r="D3" s="18"/>
      <c r="E3" s="18"/>
      <c r="F3" s="18"/>
      <c r="G3" s="18"/>
      <c r="H3" s="18"/>
      <c r="I3" s="18"/>
      <c r="J3" s="18"/>
    </row>
    <row r="4" spans="1:10">
      <c r="A4" s="18"/>
      <c r="B4" s="58"/>
      <c r="C4" s="58"/>
      <c r="D4" s="58"/>
      <c r="E4" s="58"/>
      <c r="F4" s="58"/>
      <c r="G4" s="58"/>
      <c r="H4" s="58"/>
      <c r="I4" s="58"/>
      <c r="J4" s="58"/>
    </row>
    <row r="5" spans="1:10">
      <c r="A5" s="18"/>
      <c r="B5" s="58"/>
      <c r="C5" s="58"/>
      <c r="D5" s="58"/>
      <c r="E5" s="58"/>
      <c r="F5" s="58"/>
      <c r="G5" s="58"/>
      <c r="H5" s="58"/>
      <c r="I5" s="58"/>
      <c r="J5" s="58"/>
    </row>
    <row r="6" spans="1:10">
      <c r="A6" s="18"/>
      <c r="B6" s="58"/>
      <c r="C6" s="58"/>
      <c r="D6" s="58"/>
      <c r="E6" s="58"/>
      <c r="F6" s="58"/>
      <c r="G6" s="58"/>
      <c r="H6" s="58"/>
      <c r="I6" s="58"/>
      <c r="J6" s="58"/>
    </row>
    <row r="7" spans="1:10">
      <c r="A7" s="18"/>
      <c r="B7" s="58"/>
      <c r="C7" s="58"/>
      <c r="D7" s="58"/>
      <c r="E7" s="58"/>
      <c r="F7" s="58"/>
      <c r="G7" s="58"/>
      <c r="H7" s="58"/>
      <c r="I7" s="58"/>
      <c r="J7" s="58"/>
    </row>
    <row r="8" spans="1:10">
      <c r="A8" s="18"/>
      <c r="B8" s="58"/>
      <c r="C8" s="58"/>
      <c r="D8" s="58"/>
      <c r="E8" s="58"/>
      <c r="F8" s="58"/>
      <c r="G8" s="58"/>
      <c r="H8" s="58"/>
      <c r="I8" s="58"/>
      <c r="J8" s="58"/>
    </row>
    <row r="9" spans="1:10">
      <c r="A9" s="18"/>
      <c r="B9" s="58"/>
      <c r="C9" s="58"/>
      <c r="D9" s="58"/>
      <c r="E9" s="58"/>
      <c r="F9" s="58"/>
      <c r="G9" s="58"/>
      <c r="H9" s="58"/>
      <c r="I9" s="58"/>
      <c r="J9" s="58"/>
    </row>
    <row r="10" spans="1:10">
      <c r="A10" s="18"/>
      <c r="B10" s="58"/>
      <c r="C10" s="58"/>
      <c r="D10" s="58"/>
      <c r="E10" s="58"/>
      <c r="F10" s="58"/>
      <c r="G10" s="58"/>
      <c r="H10" s="58"/>
      <c r="I10" s="58"/>
      <c r="J10" s="58"/>
    </row>
    <row r="11" spans="1:10">
      <c r="A11" s="18"/>
      <c r="B11" s="58"/>
      <c r="C11" s="58"/>
      <c r="D11" s="58"/>
      <c r="E11" s="58"/>
      <c r="F11" s="58"/>
      <c r="G11" s="58"/>
      <c r="H11" s="58"/>
      <c r="I11" s="58"/>
      <c r="J11" s="58"/>
    </row>
    <row r="12" spans="1:10">
      <c r="A12" s="18"/>
      <c r="B12" s="58"/>
      <c r="C12" s="58"/>
      <c r="D12" s="58"/>
      <c r="E12" s="58"/>
      <c r="F12" s="58"/>
      <c r="G12" s="58"/>
      <c r="H12" s="58"/>
      <c r="I12" s="58"/>
      <c r="J12" s="58"/>
    </row>
    <row r="13" spans="1:10">
      <c r="A13" s="18"/>
      <c r="B13" s="58"/>
      <c r="C13" s="58"/>
      <c r="D13" s="58"/>
      <c r="E13" s="58"/>
      <c r="F13" s="58"/>
      <c r="G13" s="58"/>
      <c r="H13" s="58"/>
      <c r="I13" s="58"/>
      <c r="J13" s="58"/>
    </row>
    <row r="14" spans="1:10">
      <c r="A14" s="18"/>
      <c r="B14" s="58"/>
      <c r="C14" s="58"/>
      <c r="D14" s="58"/>
      <c r="E14" s="58"/>
      <c r="F14" s="58"/>
      <c r="G14" s="58"/>
      <c r="H14" s="58"/>
      <c r="I14" s="58"/>
      <c r="J14" s="58"/>
    </row>
    <row r="15" spans="1:10">
      <c r="A15" s="18"/>
      <c r="B15" s="58"/>
      <c r="C15" s="58"/>
      <c r="D15" s="58"/>
      <c r="E15" s="58"/>
      <c r="F15" s="58"/>
      <c r="G15" s="58"/>
      <c r="H15" s="58"/>
      <c r="I15" s="58"/>
      <c r="J15" s="58"/>
    </row>
    <row r="16" spans="1:10">
      <c r="A16" s="18"/>
      <c r="B16" s="58"/>
      <c r="C16" s="58"/>
      <c r="D16" s="58"/>
      <c r="E16" s="58"/>
      <c r="F16" s="58"/>
      <c r="G16" s="58"/>
      <c r="H16" s="58"/>
      <c r="I16" s="58"/>
      <c r="J16" s="58"/>
    </row>
    <row r="17" spans="1:10">
      <c r="A17" s="18"/>
      <c r="B17" s="18"/>
      <c r="C17" s="18"/>
      <c r="D17" s="18"/>
      <c r="E17" s="18"/>
      <c r="F17" s="18"/>
      <c r="G17" s="18"/>
      <c r="H17" s="18"/>
      <c r="I17" s="18"/>
      <c r="J17" s="18"/>
    </row>
    <row r="18" spans="1:10">
      <c r="A18" s="18"/>
      <c r="B18" s="18"/>
      <c r="C18" s="19"/>
      <c r="D18" s="18"/>
      <c r="E18" s="18"/>
      <c r="F18" s="18"/>
      <c r="G18" s="18"/>
      <c r="H18" s="18"/>
      <c r="I18" s="18"/>
      <c r="J18" s="18"/>
    </row>
    <row r="19" spans="1:10">
      <c r="A19" s="18"/>
      <c r="B19" s="18"/>
      <c r="C19" s="19"/>
      <c r="D19" s="18"/>
      <c r="E19" s="18"/>
      <c r="F19" s="18"/>
      <c r="G19" s="18"/>
      <c r="H19" s="18"/>
      <c r="I19" s="18"/>
      <c r="J19" s="18"/>
    </row>
    <row r="20" spans="1:10">
      <c r="A20" s="18"/>
      <c r="B20" s="18"/>
      <c r="C20" s="19"/>
      <c r="D20" s="18"/>
      <c r="E20" s="18"/>
      <c r="F20" s="18"/>
      <c r="G20" s="18"/>
      <c r="H20" s="18"/>
      <c r="I20" s="18"/>
      <c r="J20" s="18"/>
    </row>
    <row r="21" spans="1:10">
      <c r="A21" s="18"/>
      <c r="B21" s="18"/>
      <c r="C21" s="19"/>
      <c r="D21" s="18"/>
      <c r="E21" s="18"/>
      <c r="F21" s="18"/>
      <c r="G21" s="18"/>
      <c r="H21" s="18"/>
      <c r="I21" s="18"/>
      <c r="J21" s="18"/>
    </row>
    <row r="22" spans="1:10">
      <c r="A22" s="18"/>
      <c r="B22" s="18"/>
      <c r="C22" s="19"/>
      <c r="D22" s="18"/>
      <c r="E22" s="18"/>
      <c r="F22" s="18"/>
      <c r="G22" s="18"/>
      <c r="H22" s="18"/>
      <c r="I22" s="18"/>
      <c r="J22" s="18"/>
    </row>
    <row r="23" spans="1:10">
      <c r="A23" s="18"/>
      <c r="B23" s="18"/>
      <c r="C23" s="19"/>
      <c r="D23" s="18"/>
      <c r="E23" s="18"/>
      <c r="F23" s="18"/>
      <c r="G23" s="18"/>
      <c r="H23" s="18"/>
      <c r="I23" s="18"/>
      <c r="J23" s="18"/>
    </row>
    <row r="24" spans="1:10">
      <c r="A24" s="18"/>
      <c r="B24" s="18"/>
      <c r="C24" s="19"/>
      <c r="D24" s="18"/>
      <c r="E24" s="18"/>
      <c r="F24" s="18"/>
      <c r="G24" s="18"/>
      <c r="H24" s="18"/>
      <c r="I24" s="18"/>
      <c r="J24" s="18"/>
    </row>
    <row r="25" spans="1:10">
      <c r="A25" s="18"/>
      <c r="B25" s="18"/>
      <c r="C25" s="19"/>
      <c r="D25" s="18"/>
      <c r="E25" s="18"/>
      <c r="F25" s="18"/>
      <c r="G25" s="18"/>
      <c r="H25" s="18"/>
      <c r="I25" s="18"/>
      <c r="J25" s="18"/>
    </row>
    <row r="26" spans="1:10">
      <c r="A26" s="18"/>
      <c r="B26" s="18"/>
      <c r="C26" s="19"/>
      <c r="D26" s="18"/>
      <c r="E26" s="18"/>
      <c r="F26" s="18"/>
      <c r="G26" s="18"/>
      <c r="H26" s="18"/>
      <c r="I26" s="18"/>
      <c r="J26" s="18"/>
    </row>
    <row r="27" spans="1:10">
      <c r="A27" s="18"/>
      <c r="B27" s="18"/>
      <c r="C27" s="19"/>
      <c r="D27" s="18"/>
      <c r="E27" s="18"/>
      <c r="F27" s="18"/>
      <c r="G27" s="18"/>
      <c r="H27" s="18"/>
      <c r="I27" s="18"/>
      <c r="J27" s="18"/>
    </row>
    <row r="28" spans="1:10">
      <c r="A28" s="18"/>
      <c r="B28" s="18"/>
      <c r="C28" s="19"/>
      <c r="D28" s="18"/>
      <c r="E28" s="18"/>
      <c r="F28" s="18"/>
      <c r="G28" s="18"/>
      <c r="H28" s="18"/>
      <c r="I28" s="18"/>
      <c r="J28" s="18"/>
    </row>
    <row r="29" spans="1:10">
      <c r="A29" s="18"/>
      <c r="B29" s="18"/>
      <c r="C29" s="19"/>
      <c r="D29" s="18"/>
      <c r="E29" s="18"/>
      <c r="F29" s="18"/>
      <c r="G29" s="18"/>
      <c r="H29" s="18"/>
      <c r="I29" s="18"/>
      <c r="J29" s="18"/>
    </row>
    <row r="30" spans="1:10">
      <c r="A30" s="18"/>
      <c r="B30" s="18"/>
      <c r="C30" s="19"/>
      <c r="D30" s="18"/>
      <c r="E30" s="18"/>
      <c r="F30" s="18"/>
      <c r="G30" s="18"/>
      <c r="H30" s="18"/>
      <c r="I30" s="18"/>
      <c r="J30" s="18"/>
    </row>
    <row r="31" spans="1:10">
      <c r="A31" s="18"/>
      <c r="B31" s="18"/>
      <c r="C31" s="19"/>
      <c r="D31" s="18"/>
      <c r="E31" s="18"/>
      <c r="F31" s="18"/>
      <c r="G31" s="18"/>
      <c r="H31" s="18"/>
      <c r="I31" s="18"/>
      <c r="J31" s="18"/>
    </row>
    <row r="32" spans="1:10">
      <c r="A32" s="18"/>
      <c r="B32" s="18"/>
      <c r="C32" s="19"/>
      <c r="D32" s="18"/>
      <c r="E32" s="18"/>
      <c r="F32" s="18"/>
      <c r="G32" s="18"/>
      <c r="H32" s="18"/>
      <c r="I32" s="18"/>
      <c r="J32" s="18"/>
    </row>
    <row r="33" spans="1:10">
      <c r="A33" s="18"/>
      <c r="B33" s="18"/>
      <c r="C33" s="19"/>
      <c r="D33" s="18"/>
      <c r="E33" s="18"/>
      <c r="F33" s="18"/>
      <c r="G33" s="18"/>
      <c r="H33" s="18"/>
      <c r="I33" s="18"/>
      <c r="J33" s="18"/>
    </row>
    <row r="34" spans="1:10">
      <c r="A34" s="18"/>
      <c r="B34" s="18"/>
      <c r="C34" s="19"/>
      <c r="D34" s="18"/>
      <c r="E34" s="18"/>
      <c r="F34" s="18"/>
      <c r="G34" s="18"/>
      <c r="H34" s="18"/>
      <c r="I34" s="18"/>
      <c r="J34" s="18"/>
    </row>
    <row r="35" spans="1:10">
      <c r="A35" s="18"/>
      <c r="B35" s="18"/>
      <c r="C35" s="19"/>
      <c r="D35" s="18"/>
      <c r="E35" s="18"/>
      <c r="F35" s="18"/>
      <c r="G35" s="18"/>
      <c r="H35" s="18"/>
      <c r="I35" s="18"/>
      <c r="J35" s="18"/>
    </row>
    <row r="36" spans="1:10">
      <c r="A36" s="18"/>
      <c r="B36" s="18"/>
      <c r="C36" s="19"/>
      <c r="D36" s="18"/>
      <c r="E36" s="18"/>
      <c r="F36" s="18"/>
      <c r="G36" s="18"/>
      <c r="H36" s="18"/>
      <c r="I36" s="18"/>
      <c r="J36" s="18"/>
    </row>
    <row r="37" spans="1:10">
      <c r="A37" s="18"/>
      <c r="B37" s="18"/>
      <c r="C37" s="19"/>
      <c r="D37" s="18"/>
      <c r="E37" s="18"/>
      <c r="F37" s="18"/>
      <c r="G37" s="18"/>
      <c r="H37" s="18"/>
      <c r="I37" s="18"/>
      <c r="J37" s="18"/>
    </row>
    <row r="38" spans="1:10">
      <c r="A38" s="18"/>
      <c r="B38" s="18"/>
      <c r="C38" s="19"/>
      <c r="D38" s="18"/>
      <c r="E38" s="18"/>
      <c r="F38" s="18"/>
      <c r="G38" s="18"/>
      <c r="H38" s="18"/>
      <c r="I38" s="18"/>
      <c r="J38" s="18"/>
    </row>
    <row r="39" spans="1:10">
      <c r="A39" s="18"/>
      <c r="B39" s="18"/>
      <c r="C39" s="19"/>
      <c r="D39" s="18"/>
      <c r="E39" s="18"/>
      <c r="F39" s="18"/>
      <c r="G39" s="18"/>
      <c r="H39" s="18"/>
      <c r="I39" s="18"/>
      <c r="J39" s="18"/>
    </row>
    <row r="40" spans="1:10">
      <c r="A40" s="18"/>
      <c r="B40" s="18"/>
      <c r="C40" s="19"/>
      <c r="D40" s="18"/>
      <c r="E40" s="18"/>
      <c r="F40" s="18"/>
      <c r="G40" s="18"/>
      <c r="H40" s="18"/>
      <c r="I40" s="18"/>
      <c r="J40" s="18"/>
    </row>
    <row r="41" spans="1:10">
      <c r="A41" s="18"/>
      <c r="B41" s="18"/>
      <c r="C41" s="19"/>
      <c r="D41" s="18"/>
      <c r="E41" s="18"/>
      <c r="F41" s="18"/>
      <c r="G41" s="18"/>
      <c r="H41" s="18"/>
      <c r="I41" s="18"/>
      <c r="J41" s="18"/>
    </row>
    <row r="42" spans="1:10">
      <c r="A42" s="18"/>
      <c r="B42" s="18"/>
      <c r="C42" s="19"/>
      <c r="D42" s="18"/>
      <c r="E42" s="18"/>
      <c r="F42" s="18"/>
      <c r="G42" s="18"/>
      <c r="H42" s="18"/>
      <c r="I42" s="18"/>
      <c r="J42" s="18"/>
    </row>
    <row r="43" spans="1:10">
      <c r="A43" s="18"/>
      <c r="B43" s="18"/>
      <c r="C43" s="19"/>
      <c r="D43" s="18"/>
      <c r="E43" s="18"/>
      <c r="F43" s="18"/>
      <c r="G43" s="18"/>
      <c r="H43" s="18"/>
      <c r="I43" s="18"/>
      <c r="J43" s="18"/>
    </row>
    <row r="44" spans="1:10">
      <c r="A44" s="18"/>
      <c r="B44" s="18"/>
      <c r="C44" s="19"/>
      <c r="D44" s="18"/>
      <c r="E44" s="18"/>
      <c r="F44" s="18"/>
      <c r="G44" s="18"/>
      <c r="H44" s="18"/>
      <c r="I44" s="18"/>
      <c r="J44" s="18"/>
    </row>
    <row r="45" spans="1:10">
      <c r="A45" s="18"/>
      <c r="B45" s="18"/>
      <c r="C45" s="18"/>
      <c r="D45" s="18"/>
      <c r="E45" s="18"/>
      <c r="F45" s="18"/>
      <c r="G45" s="18"/>
      <c r="H45" s="18"/>
      <c r="I45" s="18"/>
      <c r="J45" s="18"/>
    </row>
    <row r="46" spans="1:10">
      <c r="A46" s="18"/>
      <c r="B46" s="18"/>
      <c r="C46" s="18"/>
      <c r="D46" s="18"/>
      <c r="E46" s="18"/>
      <c r="F46" s="18"/>
      <c r="G46" s="18"/>
      <c r="H46" s="18"/>
      <c r="I46" s="18"/>
      <c r="J46" s="18"/>
    </row>
    <row r="47" spans="1:10">
      <c r="A47" s="18"/>
      <c r="B47" s="18"/>
      <c r="C47" s="18"/>
      <c r="D47" s="18"/>
      <c r="E47" s="18"/>
      <c r="F47" s="18"/>
      <c r="G47" s="18"/>
      <c r="H47" s="18"/>
      <c r="I47" s="18"/>
      <c r="J47" s="18"/>
    </row>
    <row r="48" spans="1:10">
      <c r="A48" s="18"/>
      <c r="B48" s="18"/>
      <c r="C48" s="19"/>
      <c r="D48" s="18"/>
      <c r="E48" s="18"/>
      <c r="F48" s="18"/>
      <c r="G48" s="18"/>
      <c r="H48" s="18"/>
      <c r="I48" s="18"/>
      <c r="J48" s="18"/>
    </row>
    <row r="49" spans="1:10">
      <c r="A49" s="18"/>
      <c r="B49" s="18"/>
      <c r="C49" s="19"/>
      <c r="D49" s="18"/>
      <c r="E49" s="18"/>
      <c r="F49" s="18"/>
      <c r="G49" s="18"/>
      <c r="H49" s="18"/>
      <c r="I49" s="18"/>
      <c r="J49" s="18"/>
    </row>
    <row r="50" spans="1:10">
      <c r="A50" s="18"/>
      <c r="B50" s="18"/>
      <c r="C50" s="19"/>
      <c r="D50" s="18"/>
      <c r="E50" s="18"/>
      <c r="F50" s="18"/>
      <c r="G50" s="18"/>
      <c r="H50" s="18"/>
      <c r="I50" s="18"/>
      <c r="J50" s="18"/>
    </row>
    <row r="51" spans="1:10">
      <c r="A51" s="18"/>
      <c r="B51" s="18"/>
      <c r="C51" s="19"/>
      <c r="D51" s="18"/>
      <c r="E51" s="18"/>
      <c r="F51" s="18"/>
      <c r="G51" s="18"/>
      <c r="H51" s="18"/>
      <c r="I51" s="18"/>
      <c r="J51" s="18"/>
    </row>
    <row r="52" spans="1:10">
      <c r="A52" s="18"/>
      <c r="B52" s="18"/>
      <c r="C52" s="19"/>
      <c r="D52" s="18"/>
      <c r="E52" s="18"/>
      <c r="F52" s="18"/>
      <c r="G52" s="20"/>
      <c r="H52" s="20"/>
      <c r="I52" s="20"/>
      <c r="J52" s="20"/>
    </row>
    <row r="53" spans="1:10">
      <c r="A53" s="18"/>
      <c r="B53" s="18"/>
      <c r="C53" s="19"/>
      <c r="D53" s="18"/>
      <c r="E53" s="18"/>
      <c r="F53" s="18"/>
      <c r="G53" s="18"/>
      <c r="H53" s="18"/>
      <c r="I53" s="18"/>
      <c r="J53" s="18"/>
    </row>
    <row r="54" spans="1:10">
      <c r="A54" s="18"/>
      <c r="B54" s="18"/>
      <c r="C54" s="19"/>
      <c r="D54" s="18"/>
      <c r="E54" s="18"/>
      <c r="F54" s="18"/>
      <c r="G54" s="18"/>
      <c r="H54" s="18"/>
      <c r="I54" s="18"/>
      <c r="J54" s="18"/>
    </row>
    <row r="55" spans="1:10">
      <c r="A55" s="18"/>
      <c r="B55" s="18"/>
      <c r="C55" s="19"/>
      <c r="D55" s="18"/>
      <c r="E55" s="18"/>
      <c r="F55" s="18"/>
      <c r="G55" s="18"/>
      <c r="H55" s="18"/>
      <c r="I55" s="18"/>
      <c r="J55" s="18"/>
    </row>
    <row r="56" spans="1:10" ht="24" customHeight="1">
      <c r="A56" s="18"/>
      <c r="B56" s="18"/>
      <c r="C56" s="19"/>
      <c r="D56" s="18"/>
      <c r="E56" s="18"/>
      <c r="F56" s="18"/>
      <c r="G56" s="18"/>
      <c r="H56" s="60"/>
      <c r="I56" s="60"/>
      <c r="J56" s="18"/>
    </row>
    <row r="57" spans="1:10" ht="21.75" customHeight="1">
      <c r="A57" s="18"/>
      <c r="B57" s="18"/>
      <c r="C57" s="59" t="s">
        <v>0</v>
      </c>
      <c r="D57" s="59"/>
      <c r="E57" s="18"/>
      <c r="F57" s="18"/>
      <c r="G57" s="18"/>
      <c r="H57" s="60"/>
      <c r="I57" s="60"/>
      <c r="J57" s="18"/>
    </row>
    <row r="58" spans="1:10" ht="20.25" customHeight="1">
      <c r="A58" s="18"/>
      <c r="B58" s="18"/>
      <c r="C58" s="59"/>
      <c r="D58" s="59"/>
      <c r="E58" s="18"/>
      <c r="F58" s="18"/>
      <c r="G58" s="18"/>
      <c r="H58" s="59" t="s">
        <v>1</v>
      </c>
      <c r="I58" s="59"/>
      <c r="J58" s="18"/>
    </row>
    <row r="59" spans="1:10" ht="15" customHeight="1">
      <c r="A59" s="18"/>
      <c r="B59" s="18"/>
      <c r="C59" s="59"/>
      <c r="D59" s="59"/>
      <c r="E59" s="18"/>
      <c r="F59" s="18"/>
      <c r="G59" s="18"/>
      <c r="H59" s="16" t="s">
        <v>2</v>
      </c>
      <c r="I59" t="s">
        <v>3</v>
      </c>
      <c r="J59" s="18"/>
    </row>
    <row r="60" spans="1:10" ht="45">
      <c r="A60" s="18"/>
      <c r="B60" s="18"/>
      <c r="C60" s="21" t="s">
        <v>4</v>
      </c>
      <c r="D60" s="22" t="s">
        <v>3</v>
      </c>
      <c r="F60" s="18"/>
      <c r="G60" s="18"/>
      <c r="H60" s="17" t="s">
        <v>5</v>
      </c>
      <c r="I60">
        <v>3</v>
      </c>
      <c r="J60" s="18"/>
    </row>
    <row r="61" spans="1:10">
      <c r="A61" s="18"/>
      <c r="B61" s="18"/>
      <c r="C61" s="17" t="s">
        <v>6</v>
      </c>
      <c r="F61" s="18"/>
      <c r="G61" s="18"/>
      <c r="H61" s="17" t="s">
        <v>7</v>
      </c>
      <c r="I61">
        <v>15</v>
      </c>
      <c r="J61" s="18"/>
    </row>
    <row r="62" spans="1:10">
      <c r="A62" s="18"/>
      <c r="B62" s="18"/>
      <c r="C62" s="17" t="s">
        <v>8</v>
      </c>
      <c r="D62">
        <v>3</v>
      </c>
      <c r="F62" s="18"/>
      <c r="G62" s="18"/>
      <c r="H62" s="17" t="s">
        <v>9</v>
      </c>
      <c r="J62" s="18"/>
    </row>
    <row r="63" spans="1:10">
      <c r="A63" s="18"/>
      <c r="B63" s="18"/>
      <c r="C63" s="17" t="s">
        <v>10</v>
      </c>
      <c r="D63">
        <v>13</v>
      </c>
      <c r="F63" s="18"/>
      <c r="G63" s="18"/>
      <c r="H63" s="17" t="s">
        <v>11</v>
      </c>
      <c r="J63" s="18"/>
    </row>
    <row r="64" spans="1:10">
      <c r="A64" s="18"/>
      <c r="B64" s="18"/>
      <c r="C64" s="17" t="s">
        <v>12</v>
      </c>
      <c r="D64">
        <v>24</v>
      </c>
      <c r="F64" s="18"/>
      <c r="G64" s="18"/>
      <c r="H64" s="17" t="s">
        <v>13</v>
      </c>
      <c r="J64" s="18"/>
    </row>
    <row r="65" spans="1:10">
      <c r="A65" s="18"/>
      <c r="B65" s="18"/>
      <c r="C65" s="17" t="s">
        <v>14</v>
      </c>
      <c r="D65">
        <v>4</v>
      </c>
      <c r="F65" s="18"/>
      <c r="G65" s="18"/>
      <c r="H65" s="17" t="s">
        <v>15</v>
      </c>
      <c r="I65">
        <v>1</v>
      </c>
      <c r="J65" s="18"/>
    </row>
    <row r="66" spans="1:10">
      <c r="A66" s="18"/>
      <c r="B66" s="18"/>
      <c r="C66" s="17" t="s">
        <v>16</v>
      </c>
      <c r="D66">
        <v>7</v>
      </c>
      <c r="F66" s="18"/>
      <c r="G66" s="18"/>
      <c r="H66" s="17" t="s">
        <v>17</v>
      </c>
      <c r="I66">
        <v>1</v>
      </c>
      <c r="J66" s="18"/>
    </row>
    <row r="67" spans="1:10">
      <c r="A67" s="18"/>
      <c r="B67" s="18"/>
      <c r="C67" s="17" t="s">
        <v>18</v>
      </c>
      <c r="D67">
        <v>51</v>
      </c>
      <c r="F67" s="18"/>
      <c r="G67" s="18"/>
      <c r="H67" s="17" t="s">
        <v>14</v>
      </c>
      <c r="I67">
        <v>1</v>
      </c>
      <c r="J67" s="18"/>
    </row>
    <row r="68" spans="1:10">
      <c r="A68" s="18"/>
      <c r="B68" s="18"/>
      <c r="C68"/>
      <c r="F68" s="18"/>
      <c r="G68" s="18"/>
      <c r="H68" s="17" t="s">
        <v>19</v>
      </c>
      <c r="I68">
        <v>7</v>
      </c>
      <c r="J68" s="18"/>
    </row>
    <row r="69" spans="1:10">
      <c r="A69" s="18"/>
      <c r="B69" s="18"/>
      <c r="C69"/>
      <c r="F69" s="18"/>
      <c r="G69" s="18"/>
      <c r="H69" s="17" t="s">
        <v>20</v>
      </c>
      <c r="I69">
        <v>2</v>
      </c>
      <c r="J69" s="18"/>
    </row>
    <row r="70" spans="1:10">
      <c r="A70" s="18"/>
      <c r="B70" s="18"/>
      <c r="C70"/>
      <c r="F70" s="18"/>
      <c r="G70" s="18"/>
      <c r="H70" s="17" t="s">
        <v>21</v>
      </c>
      <c r="I70">
        <v>1</v>
      </c>
      <c r="J70" s="18"/>
    </row>
    <row r="71" spans="1:10">
      <c r="A71" s="18"/>
      <c r="B71" s="18"/>
      <c r="C71"/>
      <c r="F71" s="18"/>
      <c r="G71" s="18"/>
      <c r="H71" s="17" t="s">
        <v>22</v>
      </c>
      <c r="I71">
        <v>12</v>
      </c>
      <c r="J71" s="18"/>
    </row>
    <row r="72" spans="1:10">
      <c r="A72" s="18"/>
      <c r="B72" s="18"/>
      <c r="C72"/>
      <c r="F72" s="18"/>
      <c r="G72" s="18"/>
      <c r="H72" s="17" t="s">
        <v>23</v>
      </c>
      <c r="I72">
        <v>3</v>
      </c>
      <c r="J72" s="18"/>
    </row>
    <row r="73" spans="1:10">
      <c r="A73" s="18"/>
      <c r="B73" s="18"/>
      <c r="C73"/>
      <c r="F73" s="18"/>
      <c r="G73" s="18"/>
      <c r="H73" s="17" t="s">
        <v>24</v>
      </c>
      <c r="I73">
        <v>3</v>
      </c>
      <c r="J73" s="18"/>
    </row>
    <row r="74" spans="1:10">
      <c r="A74" s="18"/>
      <c r="B74" s="18"/>
      <c r="C74"/>
      <c r="F74" s="18"/>
      <c r="G74" s="18"/>
      <c r="H74" s="17" t="s">
        <v>25</v>
      </c>
      <c r="I74">
        <v>1</v>
      </c>
      <c r="J74" s="18"/>
    </row>
    <row r="75" spans="1:10">
      <c r="A75" s="18"/>
      <c r="B75" s="18"/>
      <c r="C75"/>
      <c r="F75" s="18"/>
      <c r="G75" s="18"/>
      <c r="H75" s="17" t="s">
        <v>26</v>
      </c>
      <c r="J75" s="18"/>
    </row>
    <row r="76" spans="1:10">
      <c r="A76" s="18"/>
      <c r="B76" s="18"/>
      <c r="C76"/>
      <c r="F76" s="18"/>
      <c r="G76" s="18"/>
      <c r="H76" s="17" t="s">
        <v>27</v>
      </c>
      <c r="I76">
        <v>1</v>
      </c>
      <c r="J76" s="18"/>
    </row>
    <row r="77" spans="1:10">
      <c r="A77" s="18"/>
      <c r="B77" s="18"/>
      <c r="C77"/>
      <c r="F77" s="18"/>
      <c r="G77" s="18"/>
      <c r="H77" s="17" t="s">
        <v>28</v>
      </c>
      <c r="J77" s="18"/>
    </row>
    <row r="78" spans="1:10">
      <c r="A78" s="18"/>
      <c r="B78" s="18"/>
      <c r="C78"/>
      <c r="D78" s="18"/>
      <c r="E78" s="18"/>
      <c r="F78" s="18"/>
      <c r="G78" s="18"/>
      <c r="H78" s="17" t="s">
        <v>29</v>
      </c>
      <c r="J78" s="18"/>
    </row>
    <row r="79" spans="1:10">
      <c r="A79" s="18"/>
      <c r="B79" s="18"/>
      <c r="C79"/>
      <c r="D79" s="18"/>
      <c r="E79" s="18"/>
      <c r="F79" s="18"/>
      <c r="G79" s="18"/>
      <c r="H79" s="17" t="s">
        <v>30</v>
      </c>
      <c r="J79" s="18"/>
    </row>
    <row r="80" spans="1:10">
      <c r="A80" s="18"/>
      <c r="B80" s="18"/>
      <c r="C80"/>
      <c r="D80" s="18"/>
      <c r="E80" s="18"/>
      <c r="F80" s="18"/>
      <c r="G80" s="18"/>
      <c r="H80" s="17" t="s">
        <v>31</v>
      </c>
      <c r="J80" s="18"/>
    </row>
    <row r="81" spans="1:10">
      <c r="A81" s="18"/>
      <c r="B81" s="18"/>
      <c r="C81"/>
      <c r="D81" s="18"/>
      <c r="E81" s="18"/>
      <c r="F81" s="18"/>
      <c r="G81" s="18"/>
      <c r="H81" s="17" t="s">
        <v>32</v>
      </c>
      <c r="J81" s="18"/>
    </row>
    <row r="82" spans="1:10">
      <c r="A82" s="18"/>
      <c r="B82" s="18"/>
      <c r="C82"/>
      <c r="D82" s="18"/>
      <c r="E82" s="18"/>
      <c r="F82" s="18"/>
      <c r="G82" s="18"/>
      <c r="H82" s="17" t="s">
        <v>33</v>
      </c>
      <c r="J82" s="18"/>
    </row>
    <row r="83" spans="1:10">
      <c r="A83" s="18"/>
      <c r="B83" s="18"/>
      <c r="C83"/>
      <c r="D83" s="18"/>
      <c r="E83" s="18"/>
      <c r="F83" s="18"/>
      <c r="G83" s="18"/>
      <c r="H83" s="17" t="s">
        <v>34</v>
      </c>
      <c r="J83" s="18"/>
    </row>
    <row r="84" spans="1:10">
      <c r="A84" s="18"/>
      <c r="B84" s="18"/>
      <c r="C84"/>
      <c r="D84" s="18"/>
      <c r="E84" s="18"/>
      <c r="F84" s="18"/>
      <c r="G84" s="18"/>
      <c r="H84" s="17" t="s">
        <v>35</v>
      </c>
      <c r="J84" s="18"/>
    </row>
    <row r="85" spans="1:10">
      <c r="A85" s="18"/>
      <c r="B85" s="18"/>
      <c r="C85"/>
      <c r="D85" s="18"/>
      <c r="E85" s="18"/>
      <c r="F85" s="18"/>
      <c r="G85" s="18"/>
      <c r="H85" s="17" t="s">
        <v>36</v>
      </c>
      <c r="J85" s="18"/>
    </row>
    <row r="86" spans="1:10">
      <c r="A86" s="18"/>
      <c r="B86" s="18"/>
      <c r="C86"/>
      <c r="D86" s="18"/>
      <c r="E86" s="18"/>
      <c r="F86" s="18"/>
      <c r="G86" s="18"/>
      <c r="H86" s="17" t="s">
        <v>37</v>
      </c>
      <c r="J86" s="18"/>
    </row>
    <row r="87" spans="1:10">
      <c r="A87" s="18"/>
      <c r="B87" s="18"/>
      <c r="C87"/>
      <c r="D87" s="18"/>
      <c r="E87" s="18"/>
      <c r="F87" s="18"/>
      <c r="G87" s="18"/>
      <c r="H87" s="17" t="s">
        <v>38</v>
      </c>
      <c r="J87" s="18"/>
    </row>
    <row r="88" spans="1:10">
      <c r="A88" s="18"/>
      <c r="B88" s="18"/>
      <c r="C88"/>
      <c r="D88" s="18"/>
      <c r="E88" s="18"/>
      <c r="F88" s="18"/>
      <c r="G88" s="18"/>
      <c r="H88" s="17" t="s">
        <v>39</v>
      </c>
      <c r="J88" s="18"/>
    </row>
    <row r="89" spans="1:10">
      <c r="A89" s="18"/>
      <c r="B89" s="18"/>
      <c r="C89"/>
      <c r="D89" s="18"/>
      <c r="E89" s="18"/>
      <c r="F89" s="18"/>
      <c r="G89" s="18"/>
      <c r="H89" s="17" t="s">
        <v>40</v>
      </c>
      <c r="J89" s="18"/>
    </row>
    <row r="90" spans="1:10">
      <c r="A90" s="18"/>
      <c r="B90" s="18"/>
      <c r="C90"/>
      <c r="D90" s="18"/>
      <c r="E90" s="18"/>
      <c r="F90" s="18"/>
      <c r="G90" s="18"/>
      <c r="H90" s="17" t="s">
        <v>41</v>
      </c>
      <c r="J90" s="18"/>
    </row>
    <row r="91" spans="1:10">
      <c r="C91"/>
      <c r="H91" s="17" t="s">
        <v>42</v>
      </c>
      <c r="J91" s="18"/>
    </row>
    <row r="92" spans="1:10">
      <c r="C92"/>
      <c r="H92" s="17" t="s">
        <v>18</v>
      </c>
      <c r="I92">
        <v>51</v>
      </c>
    </row>
    <row r="93" spans="1:10">
      <c r="C93"/>
    </row>
    <row r="94" spans="1:10">
      <c r="C94"/>
    </row>
    <row r="95" spans="1:10">
      <c r="C95"/>
    </row>
    <row r="96" spans="1:10">
      <c r="C96"/>
    </row>
    <row r="97" spans="3:3">
      <c r="C97"/>
    </row>
    <row r="98" spans="3:3">
      <c r="C98"/>
    </row>
    <row r="99" spans="3:3">
      <c r="C99"/>
    </row>
    <row r="100" spans="3:3">
      <c r="C100"/>
    </row>
    <row r="101" spans="3:3">
      <c r="C101"/>
    </row>
    <row r="102" spans="3:3">
      <c r="C102"/>
    </row>
    <row r="103" spans="3:3">
      <c r="C103"/>
    </row>
    <row r="104" spans="3:3">
      <c r="C104"/>
    </row>
    <row r="105" spans="3:3">
      <c r="C105"/>
    </row>
    <row r="106" spans="3:3">
      <c r="C106"/>
    </row>
    <row r="107" spans="3:3">
      <c r="C107"/>
    </row>
  </sheetData>
  <mergeCells count="4">
    <mergeCell ref="B4:J16"/>
    <mergeCell ref="C57:D59"/>
    <mergeCell ref="H56:I57"/>
    <mergeCell ref="H58:I58"/>
  </mergeCells>
  <pageMargins left="0.7" right="0.7" top="0.75" bottom="0.75" header="0.3" footer="0.3"/>
  <pageSetup paperSize="9" orientation="portrait" r:id="rId3"/>
  <drawing r:id="rId4"/>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05F89-6787-4A94-B443-90DD914310FA}">
  <sheetPr codeName="Hoja5"/>
  <dimension ref="A1:B7"/>
  <sheetViews>
    <sheetView workbookViewId="0">
      <selection activeCell="D21" sqref="D21"/>
    </sheetView>
  </sheetViews>
  <sheetFormatPr defaultColWidth="11.42578125" defaultRowHeight="15"/>
  <cols>
    <col min="1" max="1" width="18" customWidth="1"/>
    <col min="2" max="2" width="65.28515625" customWidth="1"/>
  </cols>
  <sheetData>
    <row r="1" spans="1:2">
      <c r="A1" t="s">
        <v>43</v>
      </c>
      <c r="B1" t="s">
        <v>44</v>
      </c>
    </row>
    <row r="2" spans="1:2">
      <c r="A2">
        <v>1</v>
      </c>
      <c r="B2" t="s">
        <v>45</v>
      </c>
    </row>
    <row r="3" spans="1:2">
      <c r="A3">
        <v>2</v>
      </c>
      <c r="B3" t="s">
        <v>46</v>
      </c>
    </row>
    <row r="4" spans="1:2">
      <c r="A4">
        <v>3</v>
      </c>
      <c r="B4" t="s">
        <v>47</v>
      </c>
    </row>
    <row r="5" spans="1:2">
      <c r="A5">
        <v>4</v>
      </c>
      <c r="B5" t="s">
        <v>48</v>
      </c>
    </row>
    <row r="6" spans="1:2">
      <c r="A6">
        <v>5</v>
      </c>
      <c r="B6" t="s">
        <v>49</v>
      </c>
    </row>
    <row r="7" spans="1:2">
      <c r="A7">
        <v>6</v>
      </c>
      <c r="B7" t="s">
        <v>50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35926-2EAE-452F-89DF-78B77E6BDEB1}">
  <sheetPr codeName="Hoja6"/>
  <dimension ref="A1:C106"/>
  <sheetViews>
    <sheetView topLeftCell="F1" workbookViewId="0">
      <selection activeCell="F33" sqref="F33"/>
    </sheetView>
  </sheetViews>
  <sheetFormatPr defaultColWidth="11.42578125" defaultRowHeight="15"/>
  <cols>
    <col min="1" max="1" width="18" customWidth="1"/>
    <col min="2" max="2" width="18.85546875" style="12" customWidth="1"/>
    <col min="3" max="3" width="78" customWidth="1"/>
  </cols>
  <sheetData>
    <row r="1" spans="1:3">
      <c r="A1" s="10" t="s">
        <v>51</v>
      </c>
      <c r="B1" s="13" t="s">
        <v>52</v>
      </c>
      <c r="C1" s="10" t="s">
        <v>53</v>
      </c>
    </row>
    <row r="2" spans="1:3">
      <c r="A2">
        <v>1</v>
      </c>
      <c r="B2" s="12">
        <v>16</v>
      </c>
      <c r="C2" t="s">
        <v>54</v>
      </c>
    </row>
    <row r="3" spans="1:3">
      <c r="A3">
        <v>1</v>
      </c>
      <c r="B3" s="12">
        <v>62</v>
      </c>
      <c r="C3" t="s">
        <v>55</v>
      </c>
    </row>
    <row r="4" spans="1:3">
      <c r="A4">
        <v>1</v>
      </c>
      <c r="B4" s="12">
        <v>109</v>
      </c>
      <c r="C4" t="s">
        <v>56</v>
      </c>
    </row>
    <row r="5" spans="1:3">
      <c r="A5">
        <v>1</v>
      </c>
      <c r="B5" s="12">
        <v>20</v>
      </c>
      <c r="C5" t="s">
        <v>32</v>
      </c>
    </row>
    <row r="6" spans="1:3">
      <c r="A6">
        <v>1</v>
      </c>
      <c r="B6" s="12">
        <v>63</v>
      </c>
      <c r="C6" t="s">
        <v>57</v>
      </c>
    </row>
    <row r="7" spans="1:3">
      <c r="A7">
        <v>1</v>
      </c>
      <c r="B7" s="12" t="s">
        <v>58</v>
      </c>
      <c r="C7" t="s">
        <v>59</v>
      </c>
    </row>
    <row r="8" spans="1:3">
      <c r="A8">
        <v>1</v>
      </c>
      <c r="B8" s="12" t="s">
        <v>60</v>
      </c>
      <c r="C8" t="s">
        <v>21</v>
      </c>
    </row>
    <row r="9" spans="1:3">
      <c r="A9">
        <v>1</v>
      </c>
      <c r="B9" s="12">
        <v>10</v>
      </c>
      <c r="C9" t="s">
        <v>61</v>
      </c>
    </row>
    <row r="10" spans="1:3">
      <c r="A10">
        <v>1</v>
      </c>
      <c r="B10" s="12">
        <v>47</v>
      </c>
      <c r="C10" t="s">
        <v>62</v>
      </c>
    </row>
    <row r="11" spans="1:3">
      <c r="A11">
        <v>1</v>
      </c>
      <c r="B11" s="12" t="s">
        <v>63</v>
      </c>
      <c r="C11" t="s">
        <v>64</v>
      </c>
    </row>
    <row r="12" spans="1:3">
      <c r="A12">
        <v>1</v>
      </c>
      <c r="B12" s="12">
        <v>24</v>
      </c>
      <c r="C12" t="s">
        <v>65</v>
      </c>
    </row>
    <row r="13" spans="1:3">
      <c r="A13">
        <v>1</v>
      </c>
      <c r="B13" s="12">
        <v>61</v>
      </c>
      <c r="C13" t="s">
        <v>66</v>
      </c>
    </row>
    <row r="14" spans="1:3">
      <c r="A14">
        <v>1</v>
      </c>
      <c r="B14" s="12" t="s">
        <v>67</v>
      </c>
      <c r="C14" t="s">
        <v>68</v>
      </c>
    </row>
    <row r="15" spans="1:3">
      <c r="A15">
        <v>1</v>
      </c>
      <c r="B15" s="12" t="s">
        <v>69</v>
      </c>
      <c r="C15" t="s">
        <v>70</v>
      </c>
    </row>
    <row r="16" spans="1:3">
      <c r="A16">
        <v>1</v>
      </c>
      <c r="B16" s="12" t="s">
        <v>71</v>
      </c>
      <c r="C16" t="s">
        <v>72</v>
      </c>
    </row>
    <row r="17" spans="1:3">
      <c r="A17">
        <v>1</v>
      </c>
      <c r="B17" s="12">
        <v>28</v>
      </c>
      <c r="C17" t="s">
        <v>73</v>
      </c>
    </row>
    <row r="18" spans="1:3">
      <c r="A18">
        <v>1</v>
      </c>
      <c r="B18" s="12" t="s">
        <v>74</v>
      </c>
      <c r="C18" t="s">
        <v>75</v>
      </c>
    </row>
    <row r="19" spans="1:3">
      <c r="A19">
        <v>1</v>
      </c>
      <c r="B19" s="12">
        <v>35</v>
      </c>
      <c r="C19" t="s">
        <v>42</v>
      </c>
    </row>
    <row r="20" spans="1:3">
      <c r="A20">
        <v>1</v>
      </c>
      <c r="B20" s="12">
        <v>108</v>
      </c>
      <c r="C20" t="s">
        <v>76</v>
      </c>
    </row>
    <row r="21" spans="1:3">
      <c r="A21">
        <v>1</v>
      </c>
      <c r="B21" s="12">
        <v>67</v>
      </c>
      <c r="C21" t="s">
        <v>38</v>
      </c>
    </row>
    <row r="22" spans="1:3">
      <c r="A22">
        <v>1</v>
      </c>
      <c r="B22" s="12" t="s">
        <v>77</v>
      </c>
      <c r="C22" t="s">
        <v>25</v>
      </c>
    </row>
    <row r="23" spans="1:3">
      <c r="A23">
        <v>1</v>
      </c>
      <c r="B23" s="12" t="s">
        <v>78</v>
      </c>
      <c r="C23" t="s">
        <v>79</v>
      </c>
    </row>
    <row r="24" spans="1:3">
      <c r="A24">
        <v>1</v>
      </c>
      <c r="B24" s="12">
        <v>87</v>
      </c>
      <c r="C24" t="s">
        <v>31</v>
      </c>
    </row>
    <row r="25" spans="1:3">
      <c r="A25">
        <v>1</v>
      </c>
      <c r="B25" s="12" t="s">
        <v>80</v>
      </c>
      <c r="C25" t="s">
        <v>36</v>
      </c>
    </row>
    <row r="26" spans="1:3">
      <c r="A26">
        <v>1</v>
      </c>
      <c r="B26" s="12" t="s">
        <v>81</v>
      </c>
      <c r="C26" t="s">
        <v>24</v>
      </c>
    </row>
    <row r="27" spans="1:3">
      <c r="A27">
        <v>1</v>
      </c>
      <c r="B27" s="12" t="s">
        <v>82</v>
      </c>
      <c r="C27" t="s">
        <v>20</v>
      </c>
    </row>
    <row r="28" spans="1:3">
      <c r="A28">
        <v>1</v>
      </c>
      <c r="B28" s="12">
        <v>26</v>
      </c>
      <c r="C28" t="s">
        <v>83</v>
      </c>
    </row>
    <row r="29" spans="1:3">
      <c r="A29">
        <v>1</v>
      </c>
      <c r="B29" s="12">
        <v>60</v>
      </c>
      <c r="C29" t="s">
        <v>37</v>
      </c>
    </row>
    <row r="30" spans="1:3">
      <c r="A30">
        <v>1</v>
      </c>
      <c r="B30" s="12">
        <v>261</v>
      </c>
      <c r="C30" t="s">
        <v>84</v>
      </c>
    </row>
    <row r="31" spans="1:3">
      <c r="A31">
        <v>1</v>
      </c>
      <c r="B31" s="12" t="s">
        <v>85</v>
      </c>
      <c r="C31" t="s">
        <v>86</v>
      </c>
    </row>
    <row r="32" spans="1:3">
      <c r="A32">
        <v>1</v>
      </c>
      <c r="B32" s="12" t="s">
        <v>87</v>
      </c>
      <c r="C32" t="s">
        <v>88</v>
      </c>
    </row>
    <row r="33" spans="1:3">
      <c r="A33">
        <v>1</v>
      </c>
      <c r="B33" s="12" t="s">
        <v>89</v>
      </c>
      <c r="C33" t="s">
        <v>90</v>
      </c>
    </row>
    <row r="34" spans="1:3">
      <c r="A34">
        <v>1</v>
      </c>
      <c r="B34" s="12" t="s">
        <v>91</v>
      </c>
      <c r="C34" t="s">
        <v>92</v>
      </c>
    </row>
    <row r="35" spans="1:3">
      <c r="A35">
        <v>1</v>
      </c>
      <c r="B35" s="12" t="s">
        <v>93</v>
      </c>
      <c r="C35" t="s">
        <v>94</v>
      </c>
    </row>
    <row r="36" spans="1:3">
      <c r="A36">
        <v>1</v>
      </c>
      <c r="B36" s="12" t="s">
        <v>95</v>
      </c>
      <c r="C36" t="s">
        <v>96</v>
      </c>
    </row>
    <row r="37" spans="1:3">
      <c r="A37">
        <v>1</v>
      </c>
      <c r="B37" s="12" t="s">
        <v>97</v>
      </c>
      <c r="C37" t="s">
        <v>98</v>
      </c>
    </row>
    <row r="38" spans="1:3">
      <c r="A38">
        <v>1</v>
      </c>
      <c r="B38" s="12" t="s">
        <v>99</v>
      </c>
      <c r="C38" t="s">
        <v>100</v>
      </c>
    </row>
    <row r="39" spans="1:3">
      <c r="A39">
        <v>1</v>
      </c>
      <c r="B39" s="12" t="s">
        <v>101</v>
      </c>
      <c r="C39" t="s">
        <v>102</v>
      </c>
    </row>
    <row r="40" spans="1:3">
      <c r="A40">
        <v>1</v>
      </c>
      <c r="B40" s="12" t="s">
        <v>103</v>
      </c>
      <c r="C40" t="s">
        <v>104</v>
      </c>
    </row>
    <row r="41" spans="1:3">
      <c r="A41">
        <v>1</v>
      </c>
      <c r="B41" s="12" t="s">
        <v>105</v>
      </c>
      <c r="C41" t="s">
        <v>106</v>
      </c>
    </row>
    <row r="42" spans="1:3">
      <c r="A42">
        <v>2</v>
      </c>
      <c r="B42" s="12" t="s">
        <v>107</v>
      </c>
      <c r="C42" t="s">
        <v>108</v>
      </c>
    </row>
    <row r="43" spans="1:3">
      <c r="A43">
        <v>2</v>
      </c>
      <c r="B43" s="12" t="s">
        <v>109</v>
      </c>
      <c r="C43" t="s">
        <v>110</v>
      </c>
    </row>
    <row r="44" spans="1:3">
      <c r="A44">
        <v>2</v>
      </c>
      <c r="B44" s="12" t="s">
        <v>111</v>
      </c>
      <c r="C44" t="s">
        <v>112</v>
      </c>
    </row>
    <row r="45" spans="1:3">
      <c r="A45">
        <v>2</v>
      </c>
      <c r="B45" s="12">
        <v>15</v>
      </c>
      <c r="C45" t="s">
        <v>113</v>
      </c>
    </row>
    <row r="46" spans="1:3">
      <c r="A46">
        <v>2</v>
      </c>
      <c r="B46" s="12">
        <v>68</v>
      </c>
      <c r="C46" t="s">
        <v>114</v>
      </c>
    </row>
    <row r="47" spans="1:3">
      <c r="A47">
        <v>3</v>
      </c>
      <c r="B47" s="12">
        <v>83</v>
      </c>
      <c r="C47" t="s">
        <v>7</v>
      </c>
    </row>
    <row r="48" spans="1:3">
      <c r="A48">
        <v>3</v>
      </c>
      <c r="B48" s="12">
        <v>85</v>
      </c>
      <c r="C48" t="s">
        <v>30</v>
      </c>
    </row>
    <row r="49" spans="1:3">
      <c r="A49">
        <v>3</v>
      </c>
      <c r="B49" s="12" t="s">
        <v>115</v>
      </c>
      <c r="C49" t="s">
        <v>116</v>
      </c>
    </row>
    <row r="50" spans="1:3">
      <c r="A50">
        <v>3</v>
      </c>
      <c r="B50" s="12">
        <v>106</v>
      </c>
      <c r="C50" t="s">
        <v>117</v>
      </c>
    </row>
    <row r="51" spans="1:3">
      <c r="A51">
        <v>3</v>
      </c>
      <c r="B51" s="12">
        <v>82</v>
      </c>
      <c r="C51" t="s">
        <v>26</v>
      </c>
    </row>
    <row r="52" spans="1:3">
      <c r="A52">
        <v>3</v>
      </c>
      <c r="B52" s="12">
        <v>101</v>
      </c>
      <c r="C52" t="s">
        <v>118</v>
      </c>
    </row>
    <row r="53" spans="1:3">
      <c r="A53">
        <v>3</v>
      </c>
      <c r="B53" s="12">
        <v>104</v>
      </c>
      <c r="C53" t="s">
        <v>119</v>
      </c>
    </row>
    <row r="54" spans="1:3">
      <c r="A54">
        <v>3</v>
      </c>
      <c r="B54" s="12">
        <v>102</v>
      </c>
      <c r="C54" t="s">
        <v>120</v>
      </c>
    </row>
    <row r="55" spans="1:3">
      <c r="A55">
        <v>3</v>
      </c>
      <c r="B55" s="12">
        <v>105</v>
      </c>
      <c r="C55" t="s">
        <v>121</v>
      </c>
    </row>
    <row r="56" spans="1:3">
      <c r="A56">
        <v>3</v>
      </c>
      <c r="B56" s="12">
        <v>107</v>
      </c>
      <c r="C56" t="s">
        <v>122</v>
      </c>
    </row>
    <row r="57" spans="1:3">
      <c r="A57">
        <v>3</v>
      </c>
      <c r="B57" s="12">
        <v>100</v>
      </c>
      <c r="C57" t="s">
        <v>41</v>
      </c>
    </row>
    <row r="58" spans="1:3">
      <c r="A58">
        <v>3</v>
      </c>
      <c r="B58" s="12">
        <v>103</v>
      </c>
      <c r="C58" t="s">
        <v>123</v>
      </c>
    </row>
    <row r="59" spans="1:3">
      <c r="A59">
        <v>3</v>
      </c>
      <c r="B59" s="12" t="s">
        <v>124</v>
      </c>
      <c r="C59" t="s">
        <v>40</v>
      </c>
    </row>
    <row r="60" spans="1:3">
      <c r="A60">
        <v>3</v>
      </c>
      <c r="B60" s="12" t="s">
        <v>125</v>
      </c>
      <c r="C60" t="s">
        <v>11</v>
      </c>
    </row>
    <row r="61" spans="1:3">
      <c r="A61">
        <v>3</v>
      </c>
      <c r="B61" s="12" t="s">
        <v>126</v>
      </c>
      <c r="C61" t="s">
        <v>15</v>
      </c>
    </row>
    <row r="62" spans="1:3">
      <c r="A62">
        <v>3</v>
      </c>
      <c r="B62" s="12" t="s">
        <v>127</v>
      </c>
      <c r="C62" t="s">
        <v>128</v>
      </c>
    </row>
    <row r="63" spans="1:3">
      <c r="A63">
        <v>3</v>
      </c>
      <c r="B63" s="12" t="s">
        <v>129</v>
      </c>
      <c r="C63" t="s">
        <v>130</v>
      </c>
    </row>
    <row r="64" spans="1:3">
      <c r="A64">
        <v>3</v>
      </c>
      <c r="B64" s="12" t="s">
        <v>131</v>
      </c>
      <c r="C64" t="s">
        <v>132</v>
      </c>
    </row>
    <row r="65" spans="1:3">
      <c r="A65">
        <v>3</v>
      </c>
      <c r="B65" s="12" t="s">
        <v>133</v>
      </c>
      <c r="C65" t="s">
        <v>134</v>
      </c>
    </row>
    <row r="66" spans="1:3">
      <c r="A66">
        <v>3</v>
      </c>
      <c r="B66" s="12" t="s">
        <v>135</v>
      </c>
      <c r="C66" t="s">
        <v>136</v>
      </c>
    </row>
    <row r="67" spans="1:3">
      <c r="A67">
        <v>3</v>
      </c>
      <c r="B67" s="12" t="s">
        <v>137</v>
      </c>
      <c r="C67" t="s">
        <v>138</v>
      </c>
    </row>
    <row r="68" spans="1:3">
      <c r="A68">
        <v>3</v>
      </c>
      <c r="B68" s="12" t="s">
        <v>139</v>
      </c>
      <c r="C68" t="s">
        <v>140</v>
      </c>
    </row>
    <row r="69" spans="1:3">
      <c r="A69">
        <v>3</v>
      </c>
      <c r="B69" s="12">
        <v>86</v>
      </c>
      <c r="C69" t="s">
        <v>141</v>
      </c>
    </row>
    <row r="70" spans="1:3">
      <c r="A70">
        <v>4</v>
      </c>
      <c r="B70" s="12">
        <v>40</v>
      </c>
      <c r="C70" t="s">
        <v>142</v>
      </c>
    </row>
    <row r="71" spans="1:3">
      <c r="A71">
        <v>4</v>
      </c>
      <c r="B71" s="12" t="s">
        <v>143</v>
      </c>
      <c r="C71" t="s">
        <v>5</v>
      </c>
    </row>
    <row r="72" spans="1:3">
      <c r="A72">
        <v>4</v>
      </c>
      <c r="B72" s="12" t="s">
        <v>144</v>
      </c>
      <c r="C72" t="s">
        <v>145</v>
      </c>
    </row>
    <row r="73" spans="1:3">
      <c r="A73">
        <v>4</v>
      </c>
      <c r="B73" s="12" t="s">
        <v>146</v>
      </c>
      <c r="C73" t="s">
        <v>147</v>
      </c>
    </row>
    <row r="74" spans="1:3">
      <c r="A74">
        <v>4</v>
      </c>
      <c r="B74" s="12" t="s">
        <v>148</v>
      </c>
      <c r="C74" t="s">
        <v>149</v>
      </c>
    </row>
    <row r="75" spans="1:3">
      <c r="A75">
        <v>4</v>
      </c>
      <c r="B75" s="12">
        <v>46</v>
      </c>
      <c r="C75" t="s">
        <v>150</v>
      </c>
    </row>
    <row r="76" spans="1:3">
      <c r="A76">
        <v>4</v>
      </c>
      <c r="B76" s="12" t="s">
        <v>151</v>
      </c>
      <c r="C76" t="s">
        <v>152</v>
      </c>
    </row>
    <row r="77" spans="1:3">
      <c r="A77">
        <v>4</v>
      </c>
      <c r="B77" s="12" t="s">
        <v>153</v>
      </c>
      <c r="C77" t="s">
        <v>17</v>
      </c>
    </row>
    <row r="78" spans="1:3">
      <c r="A78">
        <v>4</v>
      </c>
      <c r="B78" s="12" t="s">
        <v>154</v>
      </c>
      <c r="C78" t="s">
        <v>155</v>
      </c>
    </row>
    <row r="79" spans="1:3">
      <c r="A79">
        <v>4</v>
      </c>
      <c r="B79" s="12" t="s">
        <v>156</v>
      </c>
      <c r="C79" t="s">
        <v>9</v>
      </c>
    </row>
    <row r="80" spans="1:3">
      <c r="A80">
        <v>4</v>
      </c>
      <c r="B80" s="12" t="s">
        <v>157</v>
      </c>
      <c r="C80" t="s">
        <v>158</v>
      </c>
    </row>
    <row r="81" spans="1:3">
      <c r="A81">
        <v>5</v>
      </c>
      <c r="B81" s="12">
        <v>99</v>
      </c>
      <c r="C81" t="s">
        <v>27</v>
      </c>
    </row>
    <row r="82" spans="1:3">
      <c r="A82">
        <v>5</v>
      </c>
      <c r="B82" s="12" t="s">
        <v>159</v>
      </c>
      <c r="C82" t="s">
        <v>160</v>
      </c>
    </row>
    <row r="83" spans="1:3">
      <c r="A83">
        <v>5</v>
      </c>
      <c r="B83" s="12" t="s">
        <v>161</v>
      </c>
      <c r="C83" t="s">
        <v>162</v>
      </c>
    </row>
    <row r="84" spans="1:3">
      <c r="A84">
        <v>5</v>
      </c>
      <c r="B84" s="12" t="s">
        <v>163</v>
      </c>
      <c r="C84" t="s">
        <v>164</v>
      </c>
    </row>
    <row r="85" spans="1:3">
      <c r="A85">
        <v>5</v>
      </c>
      <c r="B85" s="12" t="s">
        <v>165</v>
      </c>
      <c r="C85" t="s">
        <v>166</v>
      </c>
    </row>
    <row r="86" spans="1:3">
      <c r="A86">
        <v>5</v>
      </c>
      <c r="B86" s="12" t="s">
        <v>167</v>
      </c>
      <c r="C86" t="s">
        <v>168</v>
      </c>
    </row>
    <row r="87" spans="1:3">
      <c r="A87">
        <v>5</v>
      </c>
      <c r="B87" s="12" t="s">
        <v>169</v>
      </c>
      <c r="C87" t="s">
        <v>170</v>
      </c>
    </row>
    <row r="88" spans="1:3">
      <c r="A88">
        <v>5</v>
      </c>
      <c r="B88" s="12">
        <v>41</v>
      </c>
      <c r="C88" t="s">
        <v>39</v>
      </c>
    </row>
    <row r="89" spans="1:3">
      <c r="A89">
        <v>5</v>
      </c>
      <c r="B89" s="12">
        <v>59</v>
      </c>
      <c r="C89" t="s">
        <v>171</v>
      </c>
    </row>
    <row r="90" spans="1:3">
      <c r="A90">
        <v>5</v>
      </c>
      <c r="B90" s="12" t="s">
        <v>172</v>
      </c>
      <c r="C90" t="s">
        <v>173</v>
      </c>
    </row>
    <row r="91" spans="1:3">
      <c r="A91">
        <v>5</v>
      </c>
      <c r="B91" s="12" t="s">
        <v>174</v>
      </c>
      <c r="C91" t="s">
        <v>175</v>
      </c>
    </row>
    <row r="92" spans="1:3">
      <c r="A92">
        <v>5</v>
      </c>
      <c r="B92" s="12" t="s">
        <v>176</v>
      </c>
      <c r="C92" t="s">
        <v>177</v>
      </c>
    </row>
    <row r="93" spans="1:3">
      <c r="A93">
        <v>5</v>
      </c>
      <c r="B93" s="12" t="s">
        <v>178</v>
      </c>
      <c r="C93" t="s">
        <v>179</v>
      </c>
    </row>
    <row r="94" spans="1:3">
      <c r="A94">
        <v>5</v>
      </c>
      <c r="B94" s="12">
        <v>78</v>
      </c>
      <c r="C94" t="s">
        <v>19</v>
      </c>
    </row>
    <row r="95" spans="1:3">
      <c r="A95">
        <v>5</v>
      </c>
      <c r="B95" s="12" t="s">
        <v>180</v>
      </c>
      <c r="C95" t="s">
        <v>22</v>
      </c>
    </row>
    <row r="96" spans="1:3">
      <c r="A96">
        <v>5</v>
      </c>
      <c r="B96" s="12" t="s">
        <v>181</v>
      </c>
      <c r="C96" t="s">
        <v>23</v>
      </c>
    </row>
    <row r="97" spans="1:3">
      <c r="A97">
        <v>5</v>
      </c>
      <c r="B97" s="12" t="s">
        <v>182</v>
      </c>
      <c r="C97" t="s">
        <v>183</v>
      </c>
    </row>
    <row r="98" spans="1:3">
      <c r="A98">
        <v>5</v>
      </c>
      <c r="B98" s="12">
        <v>98</v>
      </c>
      <c r="C98" t="s">
        <v>184</v>
      </c>
    </row>
    <row r="99" spans="1:3">
      <c r="A99">
        <v>5</v>
      </c>
      <c r="B99" s="12">
        <v>76</v>
      </c>
      <c r="C99" t="s">
        <v>185</v>
      </c>
    </row>
    <row r="100" spans="1:3">
      <c r="A100">
        <v>5</v>
      </c>
      <c r="B100" s="12">
        <v>75</v>
      </c>
      <c r="C100" t="s">
        <v>186</v>
      </c>
    </row>
    <row r="101" spans="1:3">
      <c r="A101">
        <v>5</v>
      </c>
      <c r="B101" s="12">
        <v>32</v>
      </c>
      <c r="C101" t="s">
        <v>13</v>
      </c>
    </row>
    <row r="102" spans="1:3">
      <c r="A102">
        <v>5</v>
      </c>
      <c r="B102" s="12" t="s">
        <v>187</v>
      </c>
      <c r="C102" t="s">
        <v>33</v>
      </c>
    </row>
    <row r="103" spans="1:3">
      <c r="A103">
        <v>5</v>
      </c>
      <c r="B103" s="12" t="s">
        <v>188</v>
      </c>
      <c r="C103" t="s">
        <v>189</v>
      </c>
    </row>
    <row r="104" spans="1:3">
      <c r="A104">
        <v>5</v>
      </c>
      <c r="B104" s="12" t="s">
        <v>190</v>
      </c>
      <c r="C104" t="s">
        <v>191</v>
      </c>
    </row>
    <row r="105" spans="1:3">
      <c r="A105">
        <v>5</v>
      </c>
      <c r="B105" s="12" t="s">
        <v>192</v>
      </c>
      <c r="C105" t="s">
        <v>193</v>
      </c>
    </row>
    <row r="106" spans="1:3">
      <c r="A106">
        <v>5</v>
      </c>
      <c r="B106" s="12">
        <v>30</v>
      </c>
      <c r="C106" t="s">
        <v>194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9D476B-1A27-46D6-837F-572A9581D456}">
  <sheetPr codeName="Hoja7"/>
  <dimension ref="C1:V56"/>
  <sheetViews>
    <sheetView topLeftCell="C1" workbookViewId="0">
      <selection activeCell="F3" sqref="F3"/>
    </sheetView>
  </sheetViews>
  <sheetFormatPr defaultColWidth="11.42578125" defaultRowHeight="15"/>
  <cols>
    <col min="2" max="2" width="30.42578125" customWidth="1"/>
    <col min="3" max="3" width="79.140625" customWidth="1"/>
    <col min="4" max="4" width="38.140625" customWidth="1"/>
    <col min="6" max="6" width="47.42578125" customWidth="1"/>
    <col min="8" max="8" width="20.140625" bestFit="1" customWidth="1"/>
    <col min="9" max="9" width="55.5703125" bestFit="1" customWidth="1"/>
    <col min="10" max="10" width="28.7109375" bestFit="1" customWidth="1"/>
    <col min="11" max="11" width="26.85546875" bestFit="1" customWidth="1"/>
    <col min="12" max="12" width="36.140625" bestFit="1" customWidth="1"/>
    <col min="13" max="13" width="11.140625" bestFit="1" customWidth="1"/>
    <col min="14" max="14" width="58.140625" bestFit="1" customWidth="1"/>
    <col min="15" max="15" width="12.5703125" bestFit="1" customWidth="1"/>
    <col min="17" max="17" width="17.85546875" bestFit="1" customWidth="1"/>
    <col min="18" max="18" width="18.7109375" bestFit="1" customWidth="1"/>
    <col min="19" max="19" width="26.85546875" bestFit="1" customWidth="1"/>
    <col min="20" max="20" width="45.85546875" bestFit="1" customWidth="1"/>
    <col min="21" max="21" width="21.28515625" bestFit="1" customWidth="1"/>
    <col min="22" max="22" width="33.42578125" bestFit="1" customWidth="1"/>
    <col min="23" max="23" width="45.140625" bestFit="1" customWidth="1"/>
    <col min="24" max="24" width="51.42578125" bestFit="1" customWidth="1"/>
    <col min="25" max="25" width="37.140625" bestFit="1" customWidth="1"/>
    <col min="26" max="26" width="41.85546875" bestFit="1" customWidth="1"/>
    <col min="27" max="27" width="42.28515625" bestFit="1" customWidth="1"/>
    <col min="28" max="28" width="18.42578125" bestFit="1" customWidth="1"/>
    <col min="29" max="29" width="22.42578125" bestFit="1" customWidth="1"/>
    <col min="30" max="30" width="49.140625" bestFit="1" customWidth="1"/>
    <col min="31" max="31" width="28.42578125" bestFit="1" customWidth="1"/>
    <col min="32" max="32" width="19.42578125" bestFit="1" customWidth="1"/>
    <col min="33" max="33" width="28.42578125" bestFit="1" customWidth="1"/>
    <col min="34" max="34" width="48.28515625" bestFit="1" customWidth="1"/>
    <col min="35" max="35" width="56" bestFit="1" customWidth="1"/>
    <col min="36" max="36" width="21" bestFit="1" customWidth="1"/>
    <col min="37" max="37" width="21.42578125" bestFit="1" customWidth="1"/>
    <col min="38" max="38" width="39.85546875" bestFit="1" customWidth="1"/>
    <col min="39" max="39" width="41.42578125" bestFit="1" customWidth="1"/>
    <col min="40" max="40" width="44" bestFit="1" customWidth="1"/>
    <col min="41" max="41" width="19.85546875" bestFit="1" customWidth="1"/>
    <col min="42" max="42" width="38.85546875" bestFit="1" customWidth="1"/>
    <col min="43" max="43" width="46" bestFit="1" customWidth="1"/>
    <col min="44" max="44" width="20.85546875" bestFit="1" customWidth="1"/>
    <col min="45" max="45" width="28.140625" bestFit="1" customWidth="1"/>
    <col min="46" max="46" width="22.28515625" bestFit="1" customWidth="1"/>
    <col min="47" max="47" width="20.85546875" bestFit="1" customWidth="1"/>
    <col min="48" max="48" width="21.28515625" bestFit="1" customWidth="1"/>
    <col min="49" max="49" width="32.7109375" bestFit="1" customWidth="1"/>
    <col min="50" max="50" width="11.140625" bestFit="1" customWidth="1"/>
    <col min="51" max="51" width="12.42578125" bestFit="1" customWidth="1"/>
    <col min="52" max="53" width="13.42578125" bestFit="1" customWidth="1"/>
    <col min="54" max="54" width="12.42578125" bestFit="1" customWidth="1"/>
    <col min="55" max="62" width="13.42578125" bestFit="1" customWidth="1"/>
    <col min="63" max="69" width="12.42578125" bestFit="1" customWidth="1"/>
    <col min="70" max="70" width="34" bestFit="1" customWidth="1"/>
    <col min="71" max="71" width="31" bestFit="1" customWidth="1"/>
  </cols>
  <sheetData>
    <row r="1" spans="3:22" ht="21">
      <c r="C1" s="61" t="s">
        <v>195</v>
      </c>
      <c r="D1" s="62"/>
      <c r="F1" s="15" t="s">
        <v>196</v>
      </c>
      <c r="H1" s="63" t="s">
        <v>197</v>
      </c>
      <c r="I1" s="63"/>
      <c r="K1" s="63" t="s">
        <v>198</v>
      </c>
      <c r="L1" s="63"/>
      <c r="N1" s="63" t="s">
        <v>199</v>
      </c>
      <c r="O1" s="63"/>
      <c r="R1" s="16" t="s">
        <v>200</v>
      </c>
      <c r="S1" t="s">
        <v>3</v>
      </c>
    </row>
    <row r="2" spans="3:22">
      <c r="C2" s="14" t="s">
        <v>201</v>
      </c>
      <c r="D2" s="14" t="s">
        <v>202</v>
      </c>
      <c r="F2" s="14" t="s">
        <v>203</v>
      </c>
      <c r="H2" s="14" t="s">
        <v>204</v>
      </c>
      <c r="I2" s="14" t="s">
        <v>205</v>
      </c>
      <c r="K2" s="14" t="s">
        <v>206</v>
      </c>
      <c r="L2" s="14" t="s">
        <v>207</v>
      </c>
      <c r="N2" s="14" t="s">
        <v>208</v>
      </c>
      <c r="O2" s="14" t="s">
        <v>209</v>
      </c>
      <c r="R2" s="17" t="s">
        <v>210</v>
      </c>
      <c r="S2">
        <v>7</v>
      </c>
    </row>
    <row r="3" spans="3:22" ht="19.5" customHeight="1">
      <c r="C3" t="str" cm="1">
        <f t="array" ref="C3:C41">_xlfn.UNIQUE('Registro asesorías'!B:B)</f>
        <v>Nombre_Programa</v>
      </c>
      <c r="D3" cm="1">
        <f t="array" ref="D3">COUNTA(_xlfn.UNIQUE(_xlfn._xlws.FILTER('Registro asesorías'!C:C,'Registro asesorías'!B:B=Insumo_Análisis_Indicadores!C3)))</f>
        <v>1</v>
      </c>
      <c r="F3">
        <f>COUNTA('Registro asesorías'!F:F)</f>
        <v>62</v>
      </c>
      <c r="H3" t="str" cm="1">
        <f t="array" ref="H3:H9">_xlfn.UNIQUE('Registro asesorías'!A:A)</f>
        <v>Nombre_Facultad</v>
      </c>
      <c r="I3" cm="1">
        <f t="array" ref="I3">COUNTA(_xlfn.UNIQUE(_xlfn._xlws.FILTER('Registro asesorías'!C:C,'Registro asesorías'!A:A=Insumo_Análisis_Indicadores!H3)))</f>
        <v>1</v>
      </c>
      <c r="K3" t="str" cm="1">
        <f t="array" ref="K3:K11">_xlfn.UNIQUE('Registro asesorías'!E:E)</f>
        <v>Asesor_Recursos_Académicos</v>
      </c>
      <c r="L3" cm="1">
        <f t="array" ref="L3">COUNT(_xlfn.UNIQUE(_xlfn._xlws.FILTER('Registro asesorías'!C:C,'Registro asesorías'!E:E=Insumo_Análisis_Indicadores!K3)))</f>
        <v>0</v>
      </c>
      <c r="N3" s="10" t="str" cm="1">
        <f t="array" ref="N3:N8">_xlfn.UNIQUE('Registro asesorías'!F:F)</f>
        <v>Nombre_Asesoría</v>
      </c>
      <c r="O3" cm="1">
        <f t="array" ref="O3">COUNT(_xlfn.UNIQUE(_xlfn._xlws.FILTER('Registro asesorías'!C:C,'Registro asesorías'!F:F=Insumo_Análisis_Indicadores!N3)))</f>
        <v>1</v>
      </c>
      <c r="R3" s="17" t="s">
        <v>211</v>
      </c>
      <c r="S3">
        <v>44</v>
      </c>
    </row>
    <row r="4" spans="3:22" ht="27" customHeight="1">
      <c r="C4" t="str">
        <v>Maestría en Desarrollo Infantil</v>
      </c>
      <c r="D4" cm="1">
        <f t="array" ref="D4">COUNTA(_xlfn.UNIQUE(_xlfn._xlws.FILTER('Registro asesorías'!C:C,'Registro asesorías'!B:B=Insumo_Análisis_Indicadores!C4)))</f>
        <v>9</v>
      </c>
      <c r="H4" t="str">
        <v>Facultad_Ciencias_Sociales_Humanas</v>
      </c>
      <c r="I4" cm="1">
        <f t="array" ref="I4">COUNTA(_xlfn.UNIQUE(_xlfn._xlws.FILTER('Registro asesorías'!C:C,'Registro asesorías'!A:A=Insumo_Análisis_Indicadores!H4)))</f>
        <v>49</v>
      </c>
      <c r="K4" t="str">
        <v>Marcela Cerón</v>
      </c>
      <c r="L4" cm="1">
        <f t="array" ref="L4">COUNT(_xlfn.UNIQUE(_xlfn._xlws.FILTER('Registro asesorías'!C:C,'Registro asesorías'!E:E=Insumo_Análisis_Indicadores!K4)))</f>
        <v>19</v>
      </c>
      <c r="N4" s="10" t="str">
        <v>APA _(7 ed. 2020)_American_Psychological_Association.</v>
      </c>
      <c r="O4" cm="1">
        <f t="array" ref="O4">COUNT(_xlfn.UNIQUE(_xlfn._xlws.FILTER('Registro asesorías'!C:C,'Registro asesorías'!F:F=Insumo_Análisis_Indicadores!N4)))</f>
        <v>3</v>
      </c>
      <c r="R4" s="17" t="s">
        <v>14</v>
      </c>
    </row>
    <row r="5" spans="3:22" ht="27" customHeight="1">
      <c r="C5" t="str">
        <v>Maestría en Tributación</v>
      </c>
      <c r="D5" cm="1">
        <f t="array" ref="D5">COUNTA(_xlfn.UNIQUE(_xlfn._xlws.FILTER('Registro asesorías'!C:C,'Registro asesorías'!B:B=Insumo_Análisis_Indicadores!C5)))</f>
        <v>8</v>
      </c>
      <c r="H5" t="str">
        <v>Facultad_Ciencias_Contables_Económicas_Administrativas</v>
      </c>
      <c r="I5" cm="1">
        <f t="array" ref="I5">COUNTA(_xlfn.UNIQUE(_xlfn._xlws.FILTER('Registro asesorías'!C:C,'Registro asesorías'!A:A=Insumo_Análisis_Indicadores!H5)))</f>
        <v>30</v>
      </c>
      <c r="K5" t="str">
        <v>Juan Pablo Charry</v>
      </c>
      <c r="L5" cm="1">
        <f t="array" ref="L5">COUNT(_xlfn.UNIQUE(_xlfn._xlws.FILTER('Registro asesorías'!C:C,'Registro asesorías'!E:E=Insumo_Análisis_Indicadores!K5)))</f>
        <v>14</v>
      </c>
      <c r="N5" s="10" t="str">
        <v xml:space="preserve">APA (7 ed. 2020) 
American Psychological Association </v>
      </c>
      <c r="O5" cm="1">
        <f t="array" ref="O5">COUNT(_xlfn.UNIQUE(_xlfn._xlws.FILTER('Registro asesorías'!C:C,'Registro asesorías'!F:F=Insumo_Análisis_Indicadores!N5)))</f>
        <v>17</v>
      </c>
      <c r="R5" s="17" t="s">
        <v>212</v>
      </c>
    </row>
    <row r="6" spans="3:22" ht="54.75" customHeight="1">
      <c r="C6" t="str">
        <v>Doctorado en Desarrollo Sostenible</v>
      </c>
      <c r="D6" cm="1">
        <f t="array" ref="D6">COUNTA(_xlfn.UNIQUE(_xlfn._xlws.FILTER('Registro asesorías'!C:C,'Registro asesorías'!B:B=Insumo_Análisis_Indicadores!C6)))</f>
        <v>6</v>
      </c>
      <c r="H6" t="str">
        <v>Facultad_Ciencias_Ingenierías</v>
      </c>
      <c r="I6" cm="1">
        <f t="array" ref="I6">COUNTA(_xlfn.UNIQUE(_xlfn._xlws.FILTER('Registro asesorías'!C:C,'Registro asesorías'!A:A=Insumo_Análisis_Indicadores!H6)))</f>
        <v>53</v>
      </c>
      <c r="K6" t="str">
        <v>Luz Andrea Sepúlveda</v>
      </c>
      <c r="L6" cm="1">
        <f t="array" ref="L6">COUNT(_xlfn.UNIQUE(_xlfn._xlws.FILTER('Registro asesorías'!C:C,'Registro asesorías'!E:E=Insumo_Análisis_Indicadores!K6)))</f>
        <v>21</v>
      </c>
      <c r="N6" s="10" t="str">
        <v>Temas_Centro_Escritura</v>
      </c>
      <c r="O6" cm="1">
        <f t="array" ref="O6">COUNT(_xlfn.UNIQUE(_xlfn._xlws.FILTER('Registro asesorías'!C:C,'Registro asesorías'!F:F=Insumo_Análisis_Indicadores!N6)))</f>
        <v>12</v>
      </c>
      <c r="R6" s="17" t="s">
        <v>18</v>
      </c>
      <c r="S6">
        <v>51</v>
      </c>
    </row>
    <row r="7" spans="3:22">
      <c r="C7" t="str">
        <v>Maestría en Gestión Estratégica de la Información</v>
      </c>
      <c r="D7" cm="1">
        <f t="array" ref="D7">COUNTA(_xlfn.UNIQUE(_xlfn._xlws.FILTER('Registro asesorías'!C:C,'Registro asesorías'!B:B=Insumo_Análisis_Indicadores!C7)))</f>
        <v>1</v>
      </c>
      <c r="H7" t="str">
        <v>Facultad_Ciencias_Jurídicas</v>
      </c>
      <c r="I7" cm="1">
        <f t="array" ref="I7">COUNTA(_xlfn.UNIQUE(_xlfn._xlws.FILTER('Registro asesorías'!C:C,'Registro asesorías'!A:A=Insumo_Análisis_Indicadores!H7)))</f>
        <v>4</v>
      </c>
      <c r="K7" t="str">
        <v>Harold Estiven García</v>
      </c>
      <c r="L7" cm="1">
        <f t="array" ref="L7">COUNT(_xlfn.UNIQUE(_xlfn._xlws.FILTER('Registro asesorías'!C:C,'Registro asesorías'!E:E=Insumo_Análisis_Indicadores!K7)))</f>
        <v>1</v>
      </c>
      <c r="N7" s="10">
        <v>0</v>
      </c>
      <c r="O7" cm="1">
        <f t="array" ref="O7">COUNT(_xlfn.UNIQUE(_xlfn._xlws.FILTER('Registro asesorías'!C:C,'Registro asesorías'!F:F=Insumo_Análisis_Indicadores!N7)))</f>
        <v>109</v>
      </c>
    </row>
    <row r="8" spans="3:22" ht="18" customHeight="1">
      <c r="C8" t="str">
        <v>Maestría en Educación</v>
      </c>
      <c r="D8" cm="1">
        <f t="array" ref="D8">COUNTA(_xlfn.UNIQUE(_xlfn._xlws.FILTER('Registro asesorías'!C:C,'Registro asesorías'!B:B=Insumo_Análisis_Indicadores!C8)))</f>
        <v>15</v>
      </c>
      <c r="H8" t="str">
        <v>Facultad de Ciencias Contables, Económicas y Administrativas</v>
      </c>
      <c r="I8" cm="1">
        <f t="array" ref="I8">COUNTA(_xlfn.UNIQUE(_xlfn._xlws.FILTER('Registro asesorías'!C:C,'Registro asesorías'!A:A=Insumo_Análisis_Indicadores!H8)))</f>
        <v>10</v>
      </c>
      <c r="K8">
        <v>0</v>
      </c>
      <c r="L8" cm="1">
        <f t="array" ref="L8">COUNT(_xlfn.UNIQUE(_xlfn._xlws.FILTER('Registro asesorías'!C:C,'Registro asesorías'!E:E=Insumo_Análisis_Indicadores!K8)))</f>
        <v>85</v>
      </c>
      <c r="N8" s="10" t="str">
        <v>Temas_Integridad_Académica</v>
      </c>
      <c r="O8" cm="1">
        <f t="array" ref="O8">COUNT(_xlfn.UNIQUE(_xlfn._xlws.FILTER('Registro asesorías'!C:C,'Registro asesorías'!F:F=Insumo_Análisis_Indicadores!N8)))</f>
        <v>2</v>
      </c>
    </row>
    <row r="9" spans="3:22">
      <c r="C9" t="str">
        <v>Maestría en Educación desde la Diversidad</v>
      </c>
      <c r="D9" cm="1">
        <f t="array" ref="D9">COUNTA(_xlfn.UNIQUE(_xlfn._xlws.FILTER('Registro asesorías'!C:C,'Registro asesorías'!B:B=Insumo_Análisis_Indicadores!C9)))</f>
        <v>8</v>
      </c>
      <c r="H9">
        <v>0</v>
      </c>
      <c r="K9" t="str">
        <v>Diego Alejandro Soto</v>
      </c>
      <c r="L9" cm="1">
        <f t="array" ref="L9">COUNT(_xlfn.UNIQUE(_xlfn._xlws.FILTER('Registro asesorías'!C:C,'Registro asesorías'!E:E=Insumo_Análisis_Indicadores!K9)))</f>
        <v>0</v>
      </c>
    </row>
    <row r="10" spans="3:22">
      <c r="C10" t="str">
        <v>Especialización en Sistemas de Información Geográfica</v>
      </c>
      <c r="D10" cm="1">
        <f t="array" ref="D10">COUNTA(_xlfn.UNIQUE(_xlfn._xlws.FILTER('Registro asesorías'!C:C,'Registro asesorías'!B:B=Insumo_Análisis_Indicadores!C10)))</f>
        <v>43</v>
      </c>
      <c r="K10" t="str">
        <v xml:space="preserve">Elvia Lucia Sánchez </v>
      </c>
      <c r="L10" cm="1">
        <f t="array" ref="L10">COUNT(_xlfn.UNIQUE(_xlfn._xlws.FILTER('Registro asesorías'!C:C,'Registro asesorías'!E:E=Insumo_Análisis_Indicadores!K10)))</f>
        <v>2</v>
      </c>
      <c r="V10" s="11"/>
    </row>
    <row r="11" spans="3:22">
      <c r="C11" t="str">
        <v>Maestría en Mercadeo</v>
      </c>
      <c r="D11" cm="1">
        <f t="array" ref="D11">COUNTA(_xlfn.UNIQUE(_xlfn._xlws.FILTER('Registro asesorías'!C:C,'Registro asesorías'!B:B=Insumo_Análisis_Indicadores!C11)))</f>
        <v>6</v>
      </c>
      <c r="K11" t="str">
        <v>María Eugenia Nieto</v>
      </c>
      <c r="R11" s="16" t="s">
        <v>200</v>
      </c>
      <c r="S11" t="s">
        <v>213</v>
      </c>
    </row>
    <row r="12" spans="3:22">
      <c r="C12" t="str">
        <v>Doctorado en Derecho</v>
      </c>
      <c r="D12" cm="1">
        <f t="array" ref="D12">COUNTA(_xlfn.UNIQUE(_xlfn._xlws.FILTER('Registro asesorías'!C:C,'Registro asesorías'!B:B=Insumo_Análisis_Indicadores!C12)))</f>
        <v>1</v>
      </c>
      <c r="R12" s="17" t="s">
        <v>214</v>
      </c>
      <c r="S12">
        <v>34</v>
      </c>
    </row>
    <row r="13" spans="3:22">
      <c r="C13" t="str">
        <v>Maestría en Desarrollo Sostenible y Medio Ambiente - Virtual</v>
      </c>
      <c r="D13" cm="1">
        <f t="array" ref="D13">COUNTA(_xlfn.UNIQUE(_xlfn._xlws.FILTER('Registro asesorías'!C:C,'Registro asesorías'!B:B=Insumo_Análisis_Indicadores!C13)))</f>
        <v>2</v>
      </c>
      <c r="I13" s="16" t="s">
        <v>215</v>
      </c>
      <c r="R13" s="17" t="s">
        <v>216</v>
      </c>
      <c r="S13">
        <v>17</v>
      </c>
    </row>
    <row r="14" spans="3:22">
      <c r="C14" t="str">
        <v>Ingeniería de Sistemas y Telecomunicaciones</v>
      </c>
      <c r="D14" cm="1">
        <f t="array" ref="D14">COUNTA(_xlfn.UNIQUE(_xlfn._xlws.FILTER('Registro asesorías'!C:C,'Registro asesorías'!B:B=Insumo_Análisis_Indicadores!C14)))</f>
        <v>5</v>
      </c>
      <c r="I14" t="s">
        <v>217</v>
      </c>
      <c r="J14" t="s">
        <v>218</v>
      </c>
      <c r="K14" t="s">
        <v>219</v>
      </c>
      <c r="L14" t="s">
        <v>220</v>
      </c>
      <c r="M14" t="s">
        <v>14</v>
      </c>
      <c r="N14" t="s">
        <v>45</v>
      </c>
      <c r="O14" t="s">
        <v>18</v>
      </c>
      <c r="R14" s="17" t="s">
        <v>14</v>
      </c>
      <c r="S14">
        <v>198</v>
      </c>
    </row>
    <row r="15" spans="3:22">
      <c r="C15" t="str">
        <v>Doctorado en Ciencias Sociales, Niñez y Juventud</v>
      </c>
      <c r="D15" cm="1">
        <f t="array" ref="D15">COUNTA(_xlfn.UNIQUE(_xlfn._xlws.FILTER('Registro asesorías'!C:C,'Registro asesorías'!B:B=Insumo_Análisis_Indicadores!C15)))</f>
        <v>5</v>
      </c>
      <c r="H15" t="s">
        <v>221</v>
      </c>
      <c r="I15">
        <v>7</v>
      </c>
      <c r="J15">
        <v>16</v>
      </c>
      <c r="K15">
        <v>4</v>
      </c>
      <c r="L15">
        <v>23</v>
      </c>
      <c r="M15">
        <v>1</v>
      </c>
      <c r="O15">
        <v>51</v>
      </c>
      <c r="R15" s="17" t="s">
        <v>18</v>
      </c>
      <c r="S15">
        <v>249</v>
      </c>
    </row>
    <row r="16" spans="3:22">
      <c r="C16" t="str">
        <v>Maestría  en Tributación</v>
      </c>
      <c r="D16" cm="1">
        <f t="array" ref="D16">COUNTA(_xlfn.UNIQUE(_xlfn._xlws.FILTER('Registro asesorías'!C:C,'Registro asesorías'!B:B=Insumo_Análisis_Indicadores!C16)))</f>
        <v>2</v>
      </c>
    </row>
    <row r="17" spans="3:19">
      <c r="C17" t="str">
        <v>Magíster en Economía</v>
      </c>
      <c r="D17" cm="1">
        <f t="array" ref="D17">COUNTA(_xlfn.UNIQUE(_xlfn._xlws.FILTER('Registro asesorías'!C:C,'Registro asesorías'!B:B=Insumo_Análisis_Indicadores!C17)))</f>
        <v>1</v>
      </c>
    </row>
    <row r="18" spans="3:19">
      <c r="C18" t="str">
        <v>Especialización en Telecomunicaciones</v>
      </c>
      <c r="D18" cm="1">
        <f t="array" ref="D18">COUNTA(_xlfn.UNIQUE(_xlfn._xlws.FILTER('Registro asesorías'!C:C,'Registro asesorías'!B:B=Insumo_Análisis_Indicadores!C18)))</f>
        <v>1</v>
      </c>
    </row>
    <row r="19" spans="3:19">
      <c r="C19" t="str">
        <v>Maestría en Economía</v>
      </c>
      <c r="D19" cm="1">
        <f t="array" ref="D19">COUNTA(_xlfn.UNIQUE(_xlfn._xlws.FILTER('Registro asesorías'!C:C,'Registro asesorías'!B:B=Insumo_Análisis_Indicadores!C19)))</f>
        <v>7</v>
      </c>
    </row>
    <row r="20" spans="3:19">
      <c r="C20">
        <v>0</v>
      </c>
      <c r="D20" cm="1">
        <f t="array" ref="D20">COUNTA(_xlfn.UNIQUE(_xlfn._xlws.FILTER('Registro asesorías'!C:C,'Registro asesorías'!B:B=Insumo_Análisis_Indicadores!C20)))</f>
        <v>2</v>
      </c>
    </row>
    <row r="21" spans="3:19">
      <c r="C21" t="str">
        <v>Contaduría Pública</v>
      </c>
      <c r="D21" cm="1">
        <f t="array" ref="D21">COUNTA(_xlfn.UNIQUE(_xlfn._xlws.FILTER('Registro asesorías'!C:C,'Registro asesorías'!B:B=Insumo_Análisis_Indicadores!C21)))</f>
        <v>1</v>
      </c>
    </row>
    <row r="22" spans="3:19">
      <c r="C22" t="str">
        <v>Maestría en Psicología Clínica</v>
      </c>
    </row>
    <row r="23" spans="3:19">
      <c r="C23" t="str">
        <v xml:space="preserve">Maestría en Educación y Desarrollo Humano </v>
      </c>
      <c r="R23" s="16" t="s">
        <v>53</v>
      </c>
      <c r="S23" t="s">
        <v>3</v>
      </c>
    </row>
    <row r="24" spans="3:19">
      <c r="C24" t="str">
        <v>Magister en Educación</v>
      </c>
      <c r="R24" t="s">
        <v>32</v>
      </c>
    </row>
    <row r="25" spans="3:19">
      <c r="C25" t="str">
        <v>Maestría en Finanzas</v>
      </c>
      <c r="R25" t="s">
        <v>27</v>
      </c>
      <c r="S25">
        <v>1</v>
      </c>
    </row>
    <row r="26" spans="3:19">
      <c r="C26" t="str">
        <v>Mercadeo Nacional e Internacional</v>
      </c>
      <c r="R26" t="s">
        <v>5</v>
      </c>
      <c r="S26">
        <v>3</v>
      </c>
    </row>
    <row r="27" spans="3:19">
      <c r="C27" t="str">
        <v>Maestría en Desarrollo Sostenible y Medio Ambiente</v>
      </c>
      <c r="R27" t="s">
        <v>21</v>
      </c>
      <c r="S27">
        <v>1</v>
      </c>
    </row>
    <row r="28" spans="3:19">
      <c r="C28" t="str">
        <v>Especialización en Gerencia del Talento Humano</v>
      </c>
      <c r="R28" t="s">
        <v>39</v>
      </c>
    </row>
    <row r="29" spans="3:19">
      <c r="C29" t="str">
        <v>Maestría en Gerencia del Talento Humano</v>
      </c>
      <c r="R29" t="s">
        <v>7</v>
      </c>
      <c r="S29">
        <v>15</v>
      </c>
    </row>
    <row r="30" spans="3:19">
      <c r="C30" t="str">
        <v>Maestría en Bioinformática y Biología Computacional</v>
      </c>
      <c r="R30" t="s">
        <v>30</v>
      </c>
    </row>
    <row r="31" spans="3:19">
      <c r="C31" t="str">
        <v>Ingeniería Logística</v>
      </c>
      <c r="R31" t="s">
        <v>42</v>
      </c>
    </row>
    <row r="32" spans="3:19">
      <c r="C32" t="str">
        <v>Maestría en Ciencias Forenses</v>
      </c>
      <c r="R32" t="s">
        <v>26</v>
      </c>
    </row>
    <row r="33" spans="3:19">
      <c r="C33" t="str">
        <v>Maestría en Derecho</v>
      </c>
      <c r="R33" t="s">
        <v>41</v>
      </c>
    </row>
    <row r="34" spans="3:19">
      <c r="C34" t="str">
        <v>Finanzas y Negocios Internacionales (Virtual)</v>
      </c>
      <c r="R34" t="s">
        <v>28</v>
      </c>
    </row>
    <row r="35" spans="3:19">
      <c r="C35" t="str">
        <v>Maestría en Educación y Transformación Digital</v>
      </c>
      <c r="R35" t="s">
        <v>40</v>
      </c>
    </row>
    <row r="36" spans="3:19">
      <c r="C36" t="str">
        <v>Doctorado Formación en Diversidad</v>
      </c>
      <c r="R36" t="s">
        <v>17</v>
      </c>
      <c r="S36">
        <v>1</v>
      </c>
    </row>
    <row r="37" spans="3:19">
      <c r="C37" t="str">
        <v>Especialización en Gerencia de la Seguridad y Salud en el Trabajo</v>
      </c>
      <c r="R37" t="s">
        <v>9</v>
      </c>
    </row>
    <row r="38" spans="3:19">
      <c r="C38" t="str">
        <v>Doctorado en Administración</v>
      </c>
      <c r="R38" t="s">
        <v>19</v>
      </c>
      <c r="S38">
        <v>7</v>
      </c>
    </row>
    <row r="39" spans="3:19">
      <c r="C39" t="str">
        <v>Administración de Empresas</v>
      </c>
      <c r="R39" t="s">
        <v>38</v>
      </c>
    </row>
    <row r="40" spans="3:19">
      <c r="C40" t="str">
        <v>Especialización en Neuropsicopedagogía</v>
      </c>
      <c r="R40" t="s">
        <v>25</v>
      </c>
      <c r="S40">
        <v>1</v>
      </c>
    </row>
    <row r="41" spans="3:19">
      <c r="C41" t="str">
        <v>Maestría en Educación y Desarrollo Humano - Sabaneta</v>
      </c>
      <c r="R41" t="s">
        <v>31</v>
      </c>
    </row>
    <row r="42" spans="3:19">
      <c r="R42" t="s">
        <v>22</v>
      </c>
      <c r="S42">
        <v>12</v>
      </c>
    </row>
    <row r="43" spans="3:19">
      <c r="R43" t="s">
        <v>23</v>
      </c>
      <c r="S43">
        <v>3</v>
      </c>
    </row>
    <row r="44" spans="3:19">
      <c r="R44" t="s">
        <v>34</v>
      </c>
    </row>
    <row r="45" spans="3:19">
      <c r="R45" t="s">
        <v>11</v>
      </c>
    </row>
    <row r="46" spans="3:19">
      <c r="R46" t="s">
        <v>36</v>
      </c>
    </row>
    <row r="47" spans="3:19">
      <c r="R47" t="s">
        <v>13</v>
      </c>
    </row>
    <row r="48" spans="3:19">
      <c r="R48" t="s">
        <v>15</v>
      </c>
      <c r="S48">
        <v>1</v>
      </c>
    </row>
    <row r="49" spans="18:19">
      <c r="R49" t="s">
        <v>24</v>
      </c>
      <c r="S49">
        <v>3</v>
      </c>
    </row>
    <row r="50" spans="18:19">
      <c r="R50" t="s">
        <v>33</v>
      </c>
    </row>
    <row r="51" spans="18:19">
      <c r="R51" t="s">
        <v>20</v>
      </c>
      <c r="S51">
        <v>2</v>
      </c>
    </row>
    <row r="52" spans="18:19">
      <c r="R52" t="s">
        <v>29</v>
      </c>
    </row>
    <row r="53" spans="18:19">
      <c r="R53" t="s">
        <v>35</v>
      </c>
    </row>
    <row r="54" spans="18:19">
      <c r="R54" t="s">
        <v>37</v>
      </c>
    </row>
    <row r="55" spans="18:19">
      <c r="R55" t="s">
        <v>14</v>
      </c>
      <c r="S55">
        <v>1</v>
      </c>
    </row>
    <row r="56" spans="18:19">
      <c r="R56" t="s">
        <v>18</v>
      </c>
      <c r="S56">
        <v>51</v>
      </c>
    </row>
  </sheetData>
  <mergeCells count="4">
    <mergeCell ref="C1:D1"/>
    <mergeCell ref="H1:I1"/>
    <mergeCell ref="K1:L1"/>
    <mergeCell ref="N1:O1"/>
  </mergeCells>
  <pageMargins left="0.7" right="0.7" top="0.75" bottom="0.75" header="0.3" footer="0.3"/>
  <pageSetup paperSize="9" orientation="portrait" r:id="rId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9F3AB-3EBC-49E6-99C6-B9E8E7F73F03}">
  <sheetPr codeName="Hoja1"/>
  <dimension ref="A1:R299"/>
  <sheetViews>
    <sheetView tabSelected="1" topLeftCell="D1" workbookViewId="0">
      <selection activeCell="F2" sqref="F2"/>
    </sheetView>
  </sheetViews>
  <sheetFormatPr defaultColWidth="30.7109375" defaultRowHeight="30" customHeight="1"/>
  <cols>
    <col min="1" max="1" width="26.28515625" style="28" customWidth="1"/>
    <col min="2" max="2" width="36.42578125" style="28" customWidth="1"/>
    <col min="3" max="3" width="18.42578125" style="28" customWidth="1"/>
    <col min="4" max="4" width="36.5703125" style="28" bestFit="1" customWidth="1"/>
    <col min="5" max="5" width="19.28515625" style="28" customWidth="1"/>
    <col min="6" max="6" width="56.5703125" style="28" customWidth="1"/>
    <col min="7" max="7" width="24.5703125" style="28" customWidth="1"/>
    <col min="8" max="8" width="22.28515625" style="28" customWidth="1"/>
    <col min="9" max="9" width="45.140625" style="28" customWidth="1"/>
    <col min="10" max="10" width="12" style="29" customWidth="1"/>
    <col min="11" max="11" width="17.140625" style="29" customWidth="1"/>
    <col min="12" max="12" width="21.28515625" style="29" customWidth="1"/>
    <col min="13" max="13" width="12" style="29" customWidth="1"/>
    <col min="14" max="14" width="13.7109375" style="29" customWidth="1"/>
    <col min="15" max="15" width="38.28515625" style="28" customWidth="1"/>
    <col min="16" max="16" width="17.28515625" style="28" customWidth="1"/>
    <col min="17" max="17" width="12.85546875" style="28" customWidth="1"/>
    <col min="18" max="18" width="13.140625" style="28" customWidth="1"/>
    <col min="19" max="16384" width="30.7109375" style="28"/>
  </cols>
  <sheetData>
    <row r="1" spans="1:18" ht="30" customHeight="1">
      <c r="A1" s="43" t="s">
        <v>44</v>
      </c>
      <c r="B1" s="43" t="s">
        <v>53</v>
      </c>
      <c r="C1" s="43" t="s">
        <v>222</v>
      </c>
      <c r="D1" s="44" t="s">
        <v>223</v>
      </c>
      <c r="E1" s="47" t="s">
        <v>224</v>
      </c>
      <c r="F1" s="43" t="s">
        <v>225</v>
      </c>
      <c r="G1" s="47" t="s">
        <v>226</v>
      </c>
      <c r="H1" s="47" t="s">
        <v>227</v>
      </c>
      <c r="I1" s="43" t="s">
        <v>228</v>
      </c>
      <c r="J1" s="45" t="s">
        <v>229</v>
      </c>
      <c r="K1" s="45" t="s">
        <v>230</v>
      </c>
      <c r="L1" s="45" t="s">
        <v>231</v>
      </c>
      <c r="M1" s="46" t="s">
        <v>232</v>
      </c>
      <c r="N1" s="46" t="s">
        <v>233</v>
      </c>
      <c r="O1" s="43" t="s">
        <v>234</v>
      </c>
      <c r="P1" s="47" t="s">
        <v>235</v>
      </c>
      <c r="Q1" s="43" t="s">
        <v>236</v>
      </c>
      <c r="R1" s="43" t="s">
        <v>237</v>
      </c>
    </row>
    <row r="2" spans="1:18" ht="24.75" customHeight="1">
      <c r="A2" s="28" t="s">
        <v>220</v>
      </c>
      <c r="B2" s="28" t="s">
        <v>19</v>
      </c>
      <c r="C2" s="27">
        <v>303233100</v>
      </c>
      <c r="D2" s="27" t="s">
        <v>238</v>
      </c>
      <c r="E2" s="28" t="s">
        <v>12</v>
      </c>
      <c r="F2" s="49" t="s">
        <v>239</v>
      </c>
      <c r="G2" s="28" t="s">
        <v>211</v>
      </c>
      <c r="J2" s="29">
        <v>45769</v>
      </c>
    </row>
    <row r="3" spans="1:18" ht="30" customHeight="1">
      <c r="A3" s="28" t="s">
        <v>220</v>
      </c>
      <c r="B3" s="28" t="s">
        <v>19</v>
      </c>
      <c r="C3" s="27">
        <v>130621528</v>
      </c>
      <c r="D3" s="27" t="s">
        <v>240</v>
      </c>
      <c r="E3" s="28" t="s">
        <v>12</v>
      </c>
      <c r="F3" s="28" t="s">
        <v>239</v>
      </c>
      <c r="G3" s="28" t="s">
        <v>211</v>
      </c>
      <c r="J3" s="29">
        <v>45769</v>
      </c>
      <c r="L3" s="29" t="s">
        <v>10</v>
      </c>
      <c r="O3" s="28" t="s">
        <v>241</v>
      </c>
    </row>
    <row r="4" spans="1:18" ht="30" customHeight="1">
      <c r="A4" s="28" t="s">
        <v>220</v>
      </c>
      <c r="B4" s="28" t="s">
        <v>19</v>
      </c>
      <c r="C4" s="27">
        <v>1026574422</v>
      </c>
      <c r="D4" s="27" t="s">
        <v>242</v>
      </c>
      <c r="E4" s="28" t="s">
        <v>12</v>
      </c>
      <c r="F4" s="28" t="s">
        <v>214</v>
      </c>
      <c r="G4" s="28" t="s">
        <v>211</v>
      </c>
      <c r="H4" s="28" t="s">
        <v>243</v>
      </c>
      <c r="I4" s="28" t="s">
        <v>244</v>
      </c>
      <c r="J4" s="29">
        <v>45769</v>
      </c>
      <c r="L4" s="29" t="s">
        <v>16</v>
      </c>
      <c r="M4" s="29" t="s">
        <v>245</v>
      </c>
    </row>
    <row r="5" spans="1:18" ht="30" customHeight="1">
      <c r="A5" s="28" t="s">
        <v>220</v>
      </c>
      <c r="B5" s="28" t="s">
        <v>19</v>
      </c>
      <c r="C5" s="27">
        <v>67039042</v>
      </c>
      <c r="D5" s="27" t="s">
        <v>246</v>
      </c>
      <c r="E5" s="28" t="s">
        <v>12</v>
      </c>
      <c r="F5" s="28" t="s">
        <v>239</v>
      </c>
      <c r="G5" s="28" t="s">
        <v>211</v>
      </c>
      <c r="J5" s="29">
        <v>45769</v>
      </c>
    </row>
    <row r="6" spans="1:18" ht="30" customHeight="1">
      <c r="A6" s="28" t="s">
        <v>220</v>
      </c>
      <c r="B6" s="28" t="s">
        <v>19</v>
      </c>
      <c r="C6" s="27">
        <v>75104174</v>
      </c>
      <c r="D6" s="27" t="s">
        <v>247</v>
      </c>
      <c r="E6" s="28" t="s">
        <v>12</v>
      </c>
      <c r="F6" s="28" t="s">
        <v>214</v>
      </c>
      <c r="G6" s="28" t="s">
        <v>211</v>
      </c>
      <c r="J6" s="29">
        <v>45769</v>
      </c>
    </row>
    <row r="7" spans="1:18" ht="30" customHeight="1">
      <c r="A7" s="28" t="s">
        <v>220</v>
      </c>
      <c r="B7" s="28" t="s">
        <v>19</v>
      </c>
      <c r="C7" s="27">
        <v>16553187</v>
      </c>
      <c r="D7" s="27" t="s">
        <v>248</v>
      </c>
      <c r="E7" s="28" t="s">
        <v>12</v>
      </c>
      <c r="F7" s="28" t="s">
        <v>214</v>
      </c>
      <c r="G7" s="28" t="s">
        <v>211</v>
      </c>
      <c r="J7" s="29">
        <v>45769</v>
      </c>
    </row>
    <row r="8" spans="1:18" ht="30" customHeight="1">
      <c r="A8" s="28" t="s">
        <v>217</v>
      </c>
      <c r="B8" s="28" t="s">
        <v>20</v>
      </c>
      <c r="C8" s="28">
        <v>28817433</v>
      </c>
      <c r="D8" s="28" t="s">
        <v>249</v>
      </c>
      <c r="E8" s="28" t="s">
        <v>12</v>
      </c>
      <c r="F8" s="28" t="s">
        <v>214</v>
      </c>
      <c r="G8" s="28" t="s">
        <v>211</v>
      </c>
      <c r="H8" s="30" t="s">
        <v>250</v>
      </c>
      <c r="J8" s="29">
        <v>45769</v>
      </c>
    </row>
    <row r="9" spans="1:18" ht="30" customHeight="1">
      <c r="A9" s="28" t="s">
        <v>217</v>
      </c>
      <c r="B9" s="28" t="s">
        <v>21</v>
      </c>
      <c r="C9" s="28">
        <v>79590698</v>
      </c>
      <c r="D9" s="28" t="s">
        <v>251</v>
      </c>
      <c r="E9" s="28" t="s">
        <v>8</v>
      </c>
      <c r="F9" s="28" t="s">
        <v>214</v>
      </c>
      <c r="G9" s="28" t="s">
        <v>211</v>
      </c>
      <c r="I9" s="28" t="s">
        <v>252</v>
      </c>
      <c r="J9" s="29">
        <v>45758</v>
      </c>
    </row>
    <row r="10" spans="1:18" ht="30" customHeight="1">
      <c r="A10" s="28" t="s">
        <v>218</v>
      </c>
      <c r="B10" s="28" t="s">
        <v>15</v>
      </c>
      <c r="C10" s="28">
        <v>1053773060</v>
      </c>
      <c r="D10" s="28" t="s">
        <v>253</v>
      </c>
      <c r="E10" s="28" t="s">
        <v>10</v>
      </c>
      <c r="F10" s="28" t="s">
        <v>214</v>
      </c>
      <c r="G10" s="28" t="s">
        <v>211</v>
      </c>
      <c r="I10" s="28" t="s">
        <v>254</v>
      </c>
      <c r="J10" s="29">
        <v>45764</v>
      </c>
      <c r="L10" s="29" t="s">
        <v>10</v>
      </c>
    </row>
    <row r="11" spans="1:18" ht="30" customHeight="1">
      <c r="A11" s="28" t="s">
        <v>220</v>
      </c>
      <c r="B11" s="28" t="s">
        <v>22</v>
      </c>
      <c r="C11" s="27">
        <v>1094921747</v>
      </c>
      <c r="D11" s="28" t="s">
        <v>255</v>
      </c>
      <c r="E11" s="28" t="s">
        <v>12</v>
      </c>
      <c r="F11" s="28" t="s">
        <v>216</v>
      </c>
      <c r="G11" s="28" t="s">
        <v>211</v>
      </c>
      <c r="I11" s="28" t="s">
        <v>256</v>
      </c>
      <c r="J11" s="29">
        <v>45777</v>
      </c>
    </row>
    <row r="12" spans="1:18" ht="30" customHeight="1">
      <c r="A12" s="28" t="s">
        <v>220</v>
      </c>
      <c r="B12" s="28" t="s">
        <v>22</v>
      </c>
      <c r="C12" s="27">
        <v>24729328</v>
      </c>
      <c r="D12" s="28" t="s">
        <v>257</v>
      </c>
      <c r="E12" s="28" t="s">
        <v>12</v>
      </c>
      <c r="F12" s="28" t="s">
        <v>216</v>
      </c>
      <c r="G12" s="28" t="s">
        <v>211</v>
      </c>
      <c r="I12" s="27" t="s">
        <v>256</v>
      </c>
      <c r="J12" s="29">
        <v>45777</v>
      </c>
      <c r="O12" s="27"/>
    </row>
    <row r="13" spans="1:18" ht="30" customHeight="1">
      <c r="A13" s="28" t="s">
        <v>220</v>
      </c>
      <c r="B13" s="28" t="s">
        <v>22</v>
      </c>
      <c r="C13" s="27">
        <v>33368779</v>
      </c>
      <c r="D13" s="27" t="s">
        <v>258</v>
      </c>
      <c r="E13" s="28" t="s">
        <v>12</v>
      </c>
      <c r="F13" s="28" t="s">
        <v>216</v>
      </c>
      <c r="G13" s="28" t="s">
        <v>211</v>
      </c>
      <c r="I13" s="27" t="s">
        <v>259</v>
      </c>
      <c r="J13" s="29">
        <v>45777</v>
      </c>
      <c r="O13" s="27"/>
    </row>
    <row r="14" spans="1:18" ht="30" customHeight="1">
      <c r="A14" s="28" t="s">
        <v>220</v>
      </c>
      <c r="B14" s="28" t="s">
        <v>22</v>
      </c>
      <c r="C14" s="27">
        <v>29122212</v>
      </c>
      <c r="D14" s="28" t="s">
        <v>260</v>
      </c>
      <c r="E14" s="28" t="s">
        <v>12</v>
      </c>
      <c r="F14" s="28" t="s">
        <v>216</v>
      </c>
      <c r="G14" s="28" t="s">
        <v>211</v>
      </c>
      <c r="I14" s="27" t="s">
        <v>261</v>
      </c>
      <c r="J14" s="29">
        <v>45777</v>
      </c>
      <c r="O14" s="27"/>
    </row>
    <row r="15" spans="1:18" ht="30" customHeight="1">
      <c r="A15" s="28" t="s">
        <v>220</v>
      </c>
      <c r="B15" s="28" t="s">
        <v>22</v>
      </c>
      <c r="C15" s="27">
        <v>67039341</v>
      </c>
      <c r="D15" s="28" t="s">
        <v>262</v>
      </c>
      <c r="E15" s="28" t="s">
        <v>12</v>
      </c>
      <c r="F15" s="28" t="s">
        <v>216</v>
      </c>
      <c r="G15" s="28" t="s">
        <v>211</v>
      </c>
      <c r="I15" s="27" t="s">
        <v>263</v>
      </c>
      <c r="J15" s="29">
        <v>45777</v>
      </c>
      <c r="O15" s="27"/>
    </row>
    <row r="16" spans="1:18" ht="30" customHeight="1">
      <c r="A16" s="28" t="s">
        <v>220</v>
      </c>
      <c r="B16" s="28" t="s">
        <v>22</v>
      </c>
      <c r="C16" s="27">
        <v>31886650</v>
      </c>
      <c r="D16" s="28" t="s">
        <v>264</v>
      </c>
      <c r="E16" s="28" t="s">
        <v>12</v>
      </c>
      <c r="F16" s="28" t="s">
        <v>216</v>
      </c>
      <c r="G16" s="28" t="s">
        <v>211</v>
      </c>
      <c r="I16" s="27" t="s">
        <v>261</v>
      </c>
      <c r="J16" s="29">
        <v>45777</v>
      </c>
      <c r="O16" s="27"/>
    </row>
    <row r="17" spans="1:15" ht="30" customHeight="1">
      <c r="A17" s="28" t="s">
        <v>220</v>
      </c>
      <c r="B17" s="28" t="s">
        <v>22</v>
      </c>
      <c r="C17" s="27"/>
      <c r="D17" s="28" t="s">
        <v>265</v>
      </c>
      <c r="E17" s="28" t="s">
        <v>12</v>
      </c>
      <c r="F17" s="28" t="s">
        <v>216</v>
      </c>
      <c r="G17" s="28" t="s">
        <v>211</v>
      </c>
      <c r="I17" s="27" t="s">
        <v>266</v>
      </c>
      <c r="J17" s="29">
        <v>45777</v>
      </c>
      <c r="O17" s="27"/>
    </row>
    <row r="18" spans="1:15" ht="30" customHeight="1">
      <c r="A18" s="28" t="s">
        <v>220</v>
      </c>
      <c r="B18" s="28" t="s">
        <v>22</v>
      </c>
      <c r="C18" s="27"/>
      <c r="D18" s="28" t="s">
        <v>267</v>
      </c>
      <c r="E18" s="28" t="s">
        <v>12</v>
      </c>
      <c r="F18" s="28" t="s">
        <v>216</v>
      </c>
      <c r="G18" s="28" t="s">
        <v>211</v>
      </c>
      <c r="I18" s="27" t="s">
        <v>266</v>
      </c>
      <c r="J18" s="29">
        <v>45777</v>
      </c>
      <c r="O18" s="27"/>
    </row>
    <row r="19" spans="1:15" ht="30" customHeight="1">
      <c r="A19" s="28" t="s">
        <v>220</v>
      </c>
      <c r="B19" s="28" t="s">
        <v>22</v>
      </c>
      <c r="C19" s="27">
        <v>75088144</v>
      </c>
      <c r="D19" s="28" t="s">
        <v>268</v>
      </c>
      <c r="E19" s="28" t="s">
        <v>12</v>
      </c>
      <c r="F19" s="28" t="s">
        <v>216</v>
      </c>
      <c r="G19" s="28" t="s">
        <v>211</v>
      </c>
      <c r="I19" s="27" t="s">
        <v>269</v>
      </c>
      <c r="J19" s="29">
        <v>45777</v>
      </c>
      <c r="L19" s="29" t="s">
        <v>16</v>
      </c>
      <c r="M19" s="29" t="s">
        <v>270</v>
      </c>
      <c r="O19" s="27" t="s">
        <v>271</v>
      </c>
    </row>
    <row r="20" spans="1:15" ht="30" customHeight="1">
      <c r="A20" s="28" t="s">
        <v>220</v>
      </c>
      <c r="B20" s="28" t="s">
        <v>22</v>
      </c>
      <c r="C20" s="27"/>
      <c r="D20" s="28" t="s">
        <v>272</v>
      </c>
      <c r="E20" s="28" t="s">
        <v>12</v>
      </c>
      <c r="F20" s="28" t="s">
        <v>216</v>
      </c>
      <c r="G20" s="28" t="s">
        <v>211</v>
      </c>
      <c r="I20" s="27" t="s">
        <v>269</v>
      </c>
      <c r="J20" s="29">
        <v>45777</v>
      </c>
      <c r="L20" s="29" t="s">
        <v>16</v>
      </c>
      <c r="M20" s="29" t="s">
        <v>270</v>
      </c>
      <c r="O20" s="27" t="s">
        <v>271</v>
      </c>
    </row>
    <row r="21" spans="1:15" ht="30" customHeight="1">
      <c r="A21" s="28" t="s">
        <v>220</v>
      </c>
      <c r="B21" s="28" t="s">
        <v>22</v>
      </c>
      <c r="C21" s="27">
        <v>1225091014</v>
      </c>
      <c r="D21" s="28" t="s">
        <v>273</v>
      </c>
      <c r="E21" s="28" t="s">
        <v>12</v>
      </c>
      <c r="F21" s="28" t="s">
        <v>216</v>
      </c>
      <c r="G21" s="28" t="s">
        <v>211</v>
      </c>
      <c r="I21" s="27" t="s">
        <v>274</v>
      </c>
      <c r="J21" s="29">
        <v>45777</v>
      </c>
      <c r="O21" s="27"/>
    </row>
    <row r="22" spans="1:15" ht="30" customHeight="1">
      <c r="A22" s="28" t="s">
        <v>220</v>
      </c>
      <c r="B22" s="28" t="s">
        <v>22</v>
      </c>
      <c r="C22" s="27">
        <v>94510921</v>
      </c>
      <c r="D22" s="28" t="s">
        <v>275</v>
      </c>
      <c r="E22" s="28" t="s">
        <v>12</v>
      </c>
      <c r="F22" s="28" t="s">
        <v>216</v>
      </c>
      <c r="G22" s="28" t="s">
        <v>211</v>
      </c>
      <c r="I22" s="27" t="s">
        <v>274</v>
      </c>
      <c r="J22" s="29">
        <v>45777</v>
      </c>
      <c r="O22" s="27"/>
    </row>
    <row r="23" spans="1:15" ht="30" customHeight="1">
      <c r="A23" s="28" t="s">
        <v>220</v>
      </c>
      <c r="B23" s="28" t="s">
        <v>23</v>
      </c>
      <c r="D23" s="28" t="s">
        <v>276</v>
      </c>
      <c r="E23" s="28" t="s">
        <v>12</v>
      </c>
      <c r="F23" s="28" t="s">
        <v>216</v>
      </c>
      <c r="G23" s="28" t="s">
        <v>211</v>
      </c>
      <c r="I23" s="27" t="s">
        <v>277</v>
      </c>
      <c r="J23" s="29">
        <v>45777</v>
      </c>
      <c r="O23" s="27"/>
    </row>
    <row r="24" spans="1:15" ht="30" customHeight="1">
      <c r="A24" s="28" t="s">
        <v>220</v>
      </c>
      <c r="B24" s="28" t="s">
        <v>23</v>
      </c>
      <c r="D24" s="28" t="s">
        <v>278</v>
      </c>
      <c r="E24" s="28" t="s">
        <v>12</v>
      </c>
      <c r="F24" s="28" t="s">
        <v>216</v>
      </c>
      <c r="G24" s="28" t="s">
        <v>211</v>
      </c>
      <c r="I24" s="27" t="s">
        <v>279</v>
      </c>
      <c r="J24" s="29">
        <v>45777</v>
      </c>
      <c r="O24" s="27"/>
    </row>
    <row r="25" spans="1:15" ht="30" customHeight="1">
      <c r="A25" s="28" t="s">
        <v>217</v>
      </c>
      <c r="B25" s="28" t="s">
        <v>20</v>
      </c>
      <c r="C25" s="28">
        <v>28817433</v>
      </c>
      <c r="D25" s="28" t="s">
        <v>280</v>
      </c>
      <c r="E25" s="28" t="s">
        <v>12</v>
      </c>
      <c r="F25" s="28" t="s">
        <v>216</v>
      </c>
      <c r="G25" s="28" t="s">
        <v>211</v>
      </c>
      <c r="I25" s="27" t="s">
        <v>281</v>
      </c>
      <c r="J25" s="29">
        <v>45777</v>
      </c>
      <c r="O25" s="27" t="s">
        <v>282</v>
      </c>
    </row>
    <row r="26" spans="1:15" ht="30" customHeight="1">
      <c r="A26" s="28" t="s">
        <v>218</v>
      </c>
      <c r="B26" s="28" t="s">
        <v>7</v>
      </c>
      <c r="D26" s="28" t="s">
        <v>283</v>
      </c>
      <c r="E26" s="28" t="s">
        <v>10</v>
      </c>
      <c r="F26" s="28" t="s">
        <v>214</v>
      </c>
      <c r="G26" s="28" t="s">
        <v>211</v>
      </c>
      <c r="J26" s="29">
        <v>45789</v>
      </c>
    </row>
    <row r="27" spans="1:15" ht="30" customHeight="1">
      <c r="A27" s="28" t="s">
        <v>218</v>
      </c>
      <c r="B27" s="28" t="s">
        <v>7</v>
      </c>
      <c r="D27" s="28" t="s">
        <v>284</v>
      </c>
      <c r="E27" s="28" t="s">
        <v>10</v>
      </c>
      <c r="F27" s="28" t="s">
        <v>214</v>
      </c>
      <c r="G27" s="28" t="s">
        <v>211</v>
      </c>
      <c r="J27" s="29">
        <v>45789</v>
      </c>
    </row>
    <row r="28" spans="1:15" ht="30" customHeight="1">
      <c r="A28" s="28" t="s">
        <v>218</v>
      </c>
      <c r="B28" s="28" t="s">
        <v>7</v>
      </c>
      <c r="D28" s="28" t="s">
        <v>285</v>
      </c>
      <c r="E28" s="28" t="s">
        <v>10</v>
      </c>
      <c r="F28" s="28" t="s">
        <v>214</v>
      </c>
      <c r="G28" s="28" t="s">
        <v>211</v>
      </c>
      <c r="J28" s="29">
        <v>45789</v>
      </c>
    </row>
    <row r="29" spans="1:15" ht="30" customHeight="1">
      <c r="A29" s="28" t="s">
        <v>218</v>
      </c>
      <c r="B29" s="28" t="s">
        <v>7</v>
      </c>
      <c r="D29" s="28" t="s">
        <v>286</v>
      </c>
      <c r="E29" s="28" t="s">
        <v>10</v>
      </c>
      <c r="F29" s="28" t="s">
        <v>214</v>
      </c>
      <c r="G29" s="28" t="s">
        <v>211</v>
      </c>
      <c r="J29" s="29">
        <v>45789</v>
      </c>
      <c r="O29" s="29"/>
    </row>
    <row r="30" spans="1:15" ht="30" customHeight="1">
      <c r="A30" s="28" t="s">
        <v>218</v>
      </c>
      <c r="B30" s="28" t="s">
        <v>7</v>
      </c>
      <c r="D30" s="28" t="s">
        <v>287</v>
      </c>
      <c r="E30" s="28" t="s">
        <v>10</v>
      </c>
      <c r="F30" s="28" t="s">
        <v>214</v>
      </c>
      <c r="G30" s="28" t="s">
        <v>211</v>
      </c>
      <c r="J30" s="29">
        <v>45789</v>
      </c>
    </row>
    <row r="31" spans="1:15" ht="30" customHeight="1">
      <c r="A31" s="28" t="s">
        <v>218</v>
      </c>
      <c r="B31" s="28" t="s">
        <v>7</v>
      </c>
      <c r="D31" s="28" t="s">
        <v>288</v>
      </c>
      <c r="E31" s="28" t="s">
        <v>10</v>
      </c>
      <c r="F31" s="28" t="s">
        <v>214</v>
      </c>
      <c r="G31" s="28" t="s">
        <v>211</v>
      </c>
      <c r="J31" s="29">
        <v>45789</v>
      </c>
    </row>
    <row r="32" spans="1:15" ht="30" customHeight="1">
      <c r="A32" s="28" t="s">
        <v>218</v>
      </c>
      <c r="B32" s="28" t="s">
        <v>7</v>
      </c>
      <c r="D32" s="28" t="s">
        <v>289</v>
      </c>
      <c r="E32" s="28" t="s">
        <v>10</v>
      </c>
      <c r="F32" s="28" t="s">
        <v>214</v>
      </c>
      <c r="G32" s="28" t="s">
        <v>211</v>
      </c>
      <c r="J32" s="29">
        <v>45789</v>
      </c>
      <c r="M32" s="29" t="s">
        <v>245</v>
      </c>
    </row>
    <row r="33" spans="1:15" ht="30" customHeight="1">
      <c r="A33" s="28" t="s">
        <v>218</v>
      </c>
      <c r="B33" s="28" t="s">
        <v>7</v>
      </c>
      <c r="D33" s="28" t="s">
        <v>290</v>
      </c>
      <c r="E33" s="28" t="s">
        <v>10</v>
      </c>
      <c r="F33" s="28" t="s">
        <v>214</v>
      </c>
      <c r="G33" s="28" t="s">
        <v>211</v>
      </c>
      <c r="J33" s="29">
        <v>45789</v>
      </c>
      <c r="M33" s="29" t="s">
        <v>245</v>
      </c>
      <c r="O33" s="31"/>
    </row>
    <row r="34" spans="1:15" ht="30" customHeight="1">
      <c r="A34" s="28" t="s">
        <v>220</v>
      </c>
      <c r="B34" s="28" t="s">
        <v>23</v>
      </c>
      <c r="D34" s="28" t="s">
        <v>291</v>
      </c>
      <c r="E34" s="28" t="s">
        <v>10</v>
      </c>
      <c r="F34" s="28" t="s">
        <v>214</v>
      </c>
      <c r="G34" s="28" t="s">
        <v>292</v>
      </c>
      <c r="H34" s="28" t="s">
        <v>292</v>
      </c>
      <c r="I34" s="28" t="s">
        <v>293</v>
      </c>
      <c r="J34" s="29">
        <v>45790</v>
      </c>
    </row>
    <row r="35" spans="1:15" ht="30" customHeight="1">
      <c r="A35" s="28" t="s">
        <v>217</v>
      </c>
      <c r="B35" s="28" t="s">
        <v>24</v>
      </c>
      <c r="D35" s="28" t="s">
        <v>294</v>
      </c>
      <c r="E35" s="28" t="s">
        <v>10</v>
      </c>
      <c r="F35" s="28" t="s">
        <v>214</v>
      </c>
      <c r="G35" s="28" t="s">
        <v>211</v>
      </c>
      <c r="J35" s="29">
        <v>45792</v>
      </c>
    </row>
    <row r="36" spans="1:15" ht="30" customHeight="1">
      <c r="A36" s="28" t="s">
        <v>219</v>
      </c>
      <c r="B36" s="28" t="s">
        <v>5</v>
      </c>
      <c r="D36" s="28" t="s">
        <v>295</v>
      </c>
      <c r="E36" s="28" t="s">
        <v>16</v>
      </c>
      <c r="F36" s="28" t="s">
        <v>214</v>
      </c>
      <c r="G36" s="28" t="s">
        <v>211</v>
      </c>
      <c r="I36" s="28" t="s">
        <v>296</v>
      </c>
      <c r="J36" s="29">
        <v>45791</v>
      </c>
    </row>
    <row r="37" spans="1:15" ht="30" customHeight="1">
      <c r="A37" s="28" t="s">
        <v>219</v>
      </c>
      <c r="B37" s="28" t="s">
        <v>5</v>
      </c>
      <c r="D37" s="28" t="s">
        <v>295</v>
      </c>
      <c r="E37" s="28" t="s">
        <v>16</v>
      </c>
      <c r="F37" s="28" t="s">
        <v>214</v>
      </c>
      <c r="G37" s="28" t="s">
        <v>211</v>
      </c>
      <c r="I37" s="28" t="s">
        <v>296</v>
      </c>
      <c r="J37" s="29">
        <v>45784</v>
      </c>
    </row>
    <row r="38" spans="1:15" ht="30" customHeight="1">
      <c r="A38" s="28" t="s">
        <v>219</v>
      </c>
      <c r="B38" s="28" t="s">
        <v>5</v>
      </c>
      <c r="D38" s="28" t="s">
        <v>295</v>
      </c>
      <c r="E38" s="28" t="s">
        <v>16</v>
      </c>
      <c r="F38" s="28" t="s">
        <v>214</v>
      </c>
      <c r="G38" s="28" t="s">
        <v>211</v>
      </c>
      <c r="I38" s="28" t="s">
        <v>296</v>
      </c>
      <c r="J38" s="29">
        <v>45782</v>
      </c>
    </row>
    <row r="39" spans="1:15" ht="30" customHeight="1">
      <c r="A39" s="28" t="s">
        <v>217</v>
      </c>
      <c r="B39" s="28" t="s">
        <v>25</v>
      </c>
      <c r="D39" s="28" t="s">
        <v>297</v>
      </c>
      <c r="E39" s="28" t="s">
        <v>16</v>
      </c>
      <c r="F39" s="28" t="s">
        <v>214</v>
      </c>
      <c r="G39" s="28" t="s">
        <v>298</v>
      </c>
      <c r="H39" s="28" t="s">
        <v>298</v>
      </c>
      <c r="I39" s="28" t="s">
        <v>299</v>
      </c>
      <c r="J39" s="29">
        <v>45800</v>
      </c>
      <c r="L39" s="29" t="s">
        <v>16</v>
      </c>
      <c r="M39" s="29" t="s">
        <v>270</v>
      </c>
      <c r="O39" s="28" t="s">
        <v>300</v>
      </c>
    </row>
    <row r="40" spans="1:15" ht="30" customHeight="1">
      <c r="A40" s="28" t="s">
        <v>220</v>
      </c>
      <c r="B40" s="28" t="s">
        <v>19</v>
      </c>
      <c r="C40" s="32">
        <v>1130621528</v>
      </c>
      <c r="D40" s="28" t="s">
        <v>240</v>
      </c>
      <c r="E40" s="28" t="s">
        <v>8</v>
      </c>
      <c r="F40" s="28" t="s">
        <v>214</v>
      </c>
      <c r="G40" s="28" t="s">
        <v>301</v>
      </c>
      <c r="H40" s="28" t="s">
        <v>301</v>
      </c>
      <c r="I40" s="28" t="s">
        <v>302</v>
      </c>
      <c r="J40" s="29">
        <v>45803</v>
      </c>
      <c r="L40" s="29" t="s">
        <v>10</v>
      </c>
      <c r="M40" s="29" t="s">
        <v>245</v>
      </c>
    </row>
    <row r="41" spans="1:15" ht="30" customHeight="1">
      <c r="A41" s="28" t="s">
        <v>218</v>
      </c>
      <c r="B41" s="28" t="s">
        <v>7</v>
      </c>
      <c r="D41" s="28" t="s">
        <v>303</v>
      </c>
      <c r="E41" s="28" t="s">
        <v>8</v>
      </c>
      <c r="F41" s="28" t="s">
        <v>214</v>
      </c>
      <c r="G41" s="28" t="s">
        <v>304</v>
      </c>
      <c r="H41" s="28" t="s">
        <v>304</v>
      </c>
      <c r="I41" s="28" t="s">
        <v>305</v>
      </c>
      <c r="J41" s="29">
        <v>45803</v>
      </c>
      <c r="L41" s="29" t="s">
        <v>10</v>
      </c>
      <c r="O41" s="33" t="s">
        <v>306</v>
      </c>
    </row>
    <row r="42" spans="1:15" ht="30" customHeight="1">
      <c r="A42" s="28" t="s">
        <v>218</v>
      </c>
      <c r="B42" s="28" t="s">
        <v>7</v>
      </c>
      <c r="D42" s="28" t="s">
        <v>307</v>
      </c>
      <c r="E42" s="28" t="s">
        <v>8</v>
      </c>
      <c r="G42" s="28" t="s">
        <v>304</v>
      </c>
      <c r="H42" s="28" t="s">
        <v>304</v>
      </c>
      <c r="I42" s="28" t="s">
        <v>308</v>
      </c>
      <c r="J42" s="29">
        <v>45803</v>
      </c>
      <c r="L42" s="29" t="s">
        <v>10</v>
      </c>
      <c r="O42" s="33" t="s">
        <v>306</v>
      </c>
    </row>
    <row r="43" spans="1:15" ht="30" customHeight="1">
      <c r="A43" s="28" t="s">
        <v>218</v>
      </c>
      <c r="B43" s="28" t="s">
        <v>7</v>
      </c>
      <c r="C43" s="28">
        <v>1061723812</v>
      </c>
      <c r="D43" s="28" t="s">
        <v>309</v>
      </c>
      <c r="F43" s="28" t="s">
        <v>214</v>
      </c>
      <c r="G43" s="28" t="s">
        <v>310</v>
      </c>
      <c r="H43" s="28" t="s">
        <v>310</v>
      </c>
      <c r="I43" s="28" t="s">
        <v>311</v>
      </c>
      <c r="J43" s="29">
        <v>45803</v>
      </c>
      <c r="K43" s="29" t="s">
        <v>312</v>
      </c>
      <c r="L43" s="29" t="s">
        <v>16</v>
      </c>
      <c r="M43" s="29" t="s">
        <v>245</v>
      </c>
      <c r="O43" s="28" t="s">
        <v>313</v>
      </c>
    </row>
    <row r="44" spans="1:15" ht="30" customHeight="1">
      <c r="A44" s="28" t="s">
        <v>218</v>
      </c>
      <c r="B44" s="28" t="s">
        <v>7</v>
      </c>
      <c r="C44" s="28">
        <v>1123301215</v>
      </c>
      <c r="D44" s="28" t="s">
        <v>314</v>
      </c>
      <c r="F44" s="28" t="s">
        <v>214</v>
      </c>
      <c r="G44" s="28" t="s">
        <v>310</v>
      </c>
      <c r="H44" s="28" t="s">
        <v>310</v>
      </c>
      <c r="I44" s="28" t="s">
        <v>311</v>
      </c>
      <c r="J44" s="29">
        <v>45803</v>
      </c>
      <c r="K44" s="29" t="s">
        <v>312</v>
      </c>
      <c r="L44" s="29" t="s">
        <v>16</v>
      </c>
      <c r="M44" s="29" t="s">
        <v>245</v>
      </c>
      <c r="O44" s="28" t="s">
        <v>313</v>
      </c>
    </row>
    <row r="45" spans="1:15" ht="30" customHeight="1">
      <c r="A45" s="28" t="s">
        <v>218</v>
      </c>
      <c r="B45" s="28" t="s">
        <v>7</v>
      </c>
      <c r="C45" s="28">
        <v>30400311</v>
      </c>
      <c r="D45" s="28" t="s">
        <v>315</v>
      </c>
      <c r="F45" s="28" t="s">
        <v>214</v>
      </c>
      <c r="G45" s="28" t="s">
        <v>310</v>
      </c>
      <c r="H45" s="28" t="s">
        <v>310</v>
      </c>
      <c r="I45" s="28" t="s">
        <v>311</v>
      </c>
      <c r="J45" s="29">
        <v>45803</v>
      </c>
      <c r="K45" s="29" t="s">
        <v>312</v>
      </c>
      <c r="L45" s="29" t="s">
        <v>16</v>
      </c>
      <c r="M45" s="29" t="s">
        <v>245</v>
      </c>
      <c r="O45" s="28" t="s">
        <v>313</v>
      </c>
    </row>
    <row r="46" spans="1:15" ht="30" customHeight="1">
      <c r="A46" s="28" t="s">
        <v>218</v>
      </c>
      <c r="B46" s="28" t="s">
        <v>7</v>
      </c>
      <c r="C46" s="28">
        <v>76281994</v>
      </c>
      <c r="D46" s="28" t="s">
        <v>316</v>
      </c>
      <c r="F46" s="28" t="s">
        <v>214</v>
      </c>
      <c r="G46" s="28" t="s">
        <v>310</v>
      </c>
      <c r="H46" s="28" t="s">
        <v>310</v>
      </c>
      <c r="I46" s="28" t="s">
        <v>311</v>
      </c>
      <c r="J46" s="29">
        <v>45803</v>
      </c>
      <c r="K46" s="29" t="s">
        <v>312</v>
      </c>
      <c r="L46" s="29" t="s">
        <v>16</v>
      </c>
      <c r="M46" s="29" t="s">
        <v>245</v>
      </c>
      <c r="O46" s="28" t="s">
        <v>313</v>
      </c>
    </row>
    <row r="47" spans="1:15" ht="30" customHeight="1">
      <c r="A47" s="28" t="s">
        <v>217</v>
      </c>
      <c r="B47" s="28" t="s">
        <v>20</v>
      </c>
      <c r="D47" s="28" t="s">
        <v>317</v>
      </c>
      <c r="G47" s="28" t="s">
        <v>318</v>
      </c>
      <c r="H47" s="28" t="s">
        <v>318</v>
      </c>
      <c r="I47" s="28" t="s">
        <v>319</v>
      </c>
      <c r="J47" s="29">
        <v>45804</v>
      </c>
      <c r="L47" s="29" t="s">
        <v>320</v>
      </c>
      <c r="M47" s="29" t="s">
        <v>245</v>
      </c>
    </row>
    <row r="48" spans="1:15" ht="30" customHeight="1">
      <c r="A48" s="28" t="s">
        <v>217</v>
      </c>
      <c r="B48" s="28" t="s">
        <v>20</v>
      </c>
      <c r="D48" s="28" t="s">
        <v>321</v>
      </c>
      <c r="G48" s="28" t="s">
        <v>322</v>
      </c>
      <c r="H48" s="28" t="s">
        <v>322</v>
      </c>
      <c r="I48" s="28" t="s">
        <v>319</v>
      </c>
      <c r="J48" s="29">
        <v>45804</v>
      </c>
      <c r="L48" s="29" t="s">
        <v>320</v>
      </c>
      <c r="M48" s="29" t="s">
        <v>245</v>
      </c>
    </row>
    <row r="49" spans="1:15" ht="30" customHeight="1">
      <c r="A49" s="28" t="s">
        <v>218</v>
      </c>
      <c r="B49" s="28" t="s">
        <v>26</v>
      </c>
      <c r="C49" s="34">
        <v>1002654894</v>
      </c>
      <c r="D49" s="28" t="s">
        <v>323</v>
      </c>
      <c r="G49" s="28" t="s">
        <v>324</v>
      </c>
      <c r="H49" s="28" t="s">
        <v>324</v>
      </c>
      <c r="I49" s="28" t="s">
        <v>325</v>
      </c>
      <c r="J49" s="29">
        <v>45804</v>
      </c>
      <c r="K49" s="29" t="s">
        <v>326</v>
      </c>
      <c r="L49" s="29" t="s">
        <v>10</v>
      </c>
      <c r="M49" s="29" t="s">
        <v>245</v>
      </c>
    </row>
    <row r="50" spans="1:15" ht="30" customHeight="1">
      <c r="A50" s="28" t="s">
        <v>218</v>
      </c>
      <c r="B50" s="28" t="s">
        <v>26</v>
      </c>
      <c r="C50" s="34">
        <v>1002619297</v>
      </c>
      <c r="D50" s="28" t="s">
        <v>327</v>
      </c>
      <c r="G50" s="28" t="s">
        <v>324</v>
      </c>
      <c r="H50" s="28" t="s">
        <v>324</v>
      </c>
      <c r="I50" s="28" t="s">
        <v>325</v>
      </c>
      <c r="J50" s="29">
        <v>45804</v>
      </c>
      <c r="K50" s="29" t="s">
        <v>326</v>
      </c>
      <c r="L50" s="29" t="s">
        <v>10</v>
      </c>
      <c r="M50" s="29" t="s">
        <v>245</v>
      </c>
    </row>
    <row r="51" spans="1:15" ht="30" customHeight="1">
      <c r="A51" s="28" t="s">
        <v>218</v>
      </c>
      <c r="B51" s="28" t="s">
        <v>26</v>
      </c>
      <c r="C51" s="34">
        <v>1053848609</v>
      </c>
      <c r="D51" s="28" t="s">
        <v>328</v>
      </c>
      <c r="G51" s="28" t="s">
        <v>324</v>
      </c>
      <c r="H51" s="28" t="s">
        <v>324</v>
      </c>
      <c r="I51" s="28" t="s">
        <v>325</v>
      </c>
      <c r="J51" s="29">
        <v>45804</v>
      </c>
      <c r="K51" s="29" t="s">
        <v>326</v>
      </c>
      <c r="L51" s="29" t="s">
        <v>10</v>
      </c>
      <c r="M51" s="29" t="s">
        <v>245</v>
      </c>
    </row>
    <row r="52" spans="1:15" ht="30" customHeight="1">
      <c r="A52" s="28" t="s">
        <v>218</v>
      </c>
      <c r="B52" s="28" t="s">
        <v>7</v>
      </c>
      <c r="C52" s="28">
        <v>1007424188</v>
      </c>
      <c r="D52" s="28" t="s">
        <v>329</v>
      </c>
      <c r="G52" s="28" t="s">
        <v>330</v>
      </c>
      <c r="H52" s="28" t="s">
        <v>330</v>
      </c>
      <c r="I52" s="28" t="s">
        <v>331</v>
      </c>
      <c r="J52" s="29">
        <v>45804</v>
      </c>
      <c r="L52" s="29" t="s">
        <v>10</v>
      </c>
      <c r="M52" s="29" t="s">
        <v>245</v>
      </c>
      <c r="O52" s="28" t="s">
        <v>332</v>
      </c>
    </row>
    <row r="53" spans="1:15" ht="30" customHeight="1">
      <c r="A53" s="28" t="s">
        <v>218</v>
      </c>
      <c r="B53" s="28" t="s">
        <v>7</v>
      </c>
      <c r="C53" s="28">
        <v>1031179320</v>
      </c>
      <c r="D53" s="28" t="s">
        <v>333</v>
      </c>
      <c r="G53" s="28" t="s">
        <v>330</v>
      </c>
      <c r="H53" s="28" t="s">
        <v>330</v>
      </c>
      <c r="I53" s="28" t="s">
        <v>331</v>
      </c>
      <c r="J53" s="29">
        <v>45804</v>
      </c>
      <c r="L53" s="29" t="s">
        <v>10</v>
      </c>
      <c r="M53" s="29" t="s">
        <v>245</v>
      </c>
      <c r="O53" s="28" t="s">
        <v>332</v>
      </c>
    </row>
    <row r="54" spans="1:15" ht="30" customHeight="1">
      <c r="A54" s="28" t="s">
        <v>218</v>
      </c>
      <c r="B54" s="28" t="s">
        <v>7</v>
      </c>
      <c r="C54" s="28">
        <v>1026300170</v>
      </c>
      <c r="D54" s="28" t="s">
        <v>334</v>
      </c>
      <c r="G54" s="28" t="s">
        <v>330</v>
      </c>
      <c r="H54" s="28" t="s">
        <v>330</v>
      </c>
      <c r="I54" s="28" t="s">
        <v>331</v>
      </c>
      <c r="J54" s="29">
        <v>45804</v>
      </c>
      <c r="L54" s="29" t="s">
        <v>10</v>
      </c>
      <c r="M54" s="29" t="s">
        <v>245</v>
      </c>
      <c r="O54" s="28" t="s">
        <v>332</v>
      </c>
    </row>
    <row r="55" spans="1:15" ht="30" customHeight="1">
      <c r="A55" s="28" t="s">
        <v>218</v>
      </c>
      <c r="B55" s="28" t="s">
        <v>7</v>
      </c>
      <c r="C55" s="28">
        <v>1014228680</v>
      </c>
      <c r="D55" s="28" t="s">
        <v>335</v>
      </c>
      <c r="G55" s="28" t="s">
        <v>330</v>
      </c>
      <c r="H55" s="28" t="s">
        <v>330</v>
      </c>
      <c r="I55" s="28" t="s">
        <v>331</v>
      </c>
      <c r="J55" s="29">
        <v>45804</v>
      </c>
      <c r="L55" s="29" t="s">
        <v>10</v>
      </c>
      <c r="M55" s="29" t="s">
        <v>245</v>
      </c>
      <c r="O55" s="28" t="s">
        <v>332</v>
      </c>
    </row>
    <row r="56" spans="1:15" ht="30" customHeight="1">
      <c r="A56" s="28" t="s">
        <v>217</v>
      </c>
      <c r="B56" s="28" t="s">
        <v>24</v>
      </c>
      <c r="C56" s="28">
        <v>75073612</v>
      </c>
      <c r="D56" s="28" t="s">
        <v>336</v>
      </c>
      <c r="G56" s="28" t="s">
        <v>337</v>
      </c>
      <c r="H56" s="28" t="s">
        <v>337</v>
      </c>
      <c r="I56" s="28" t="s">
        <v>338</v>
      </c>
      <c r="J56" s="29">
        <v>45804</v>
      </c>
      <c r="K56" s="29" t="s">
        <v>326</v>
      </c>
      <c r="L56" s="29" t="s">
        <v>320</v>
      </c>
      <c r="M56" s="29" t="s">
        <v>245</v>
      </c>
    </row>
    <row r="57" spans="1:15" ht="30" customHeight="1">
      <c r="A57" s="28" t="s">
        <v>220</v>
      </c>
      <c r="B57" s="28" t="s">
        <v>27</v>
      </c>
      <c r="C57" s="28">
        <v>79731366</v>
      </c>
      <c r="D57" s="28" t="s">
        <v>339</v>
      </c>
      <c r="G57" s="28" t="s">
        <v>340</v>
      </c>
      <c r="H57" s="28" t="s">
        <v>340</v>
      </c>
      <c r="I57" s="28" t="s">
        <v>341</v>
      </c>
      <c r="J57" s="29">
        <v>45804</v>
      </c>
      <c r="K57" s="29" t="s">
        <v>326</v>
      </c>
      <c r="O57" s="28" t="s">
        <v>342</v>
      </c>
    </row>
    <row r="58" spans="1:15" ht="30" customHeight="1">
      <c r="A58" s="28" t="s">
        <v>218</v>
      </c>
      <c r="B58" s="28" t="s">
        <v>7</v>
      </c>
      <c r="C58" s="35">
        <v>98137980</v>
      </c>
      <c r="D58" s="28" t="s">
        <v>343</v>
      </c>
      <c r="G58" s="28" t="s">
        <v>344</v>
      </c>
      <c r="H58" s="28" t="s">
        <v>344</v>
      </c>
      <c r="I58" s="28" t="s">
        <v>345</v>
      </c>
      <c r="J58" s="29">
        <v>45804</v>
      </c>
      <c r="L58" s="29" t="s">
        <v>10</v>
      </c>
      <c r="M58" s="29" t="s">
        <v>245</v>
      </c>
      <c r="O58" s="36" t="s">
        <v>346</v>
      </c>
    </row>
    <row r="59" spans="1:15" ht="30" customHeight="1">
      <c r="A59" s="28" t="s">
        <v>218</v>
      </c>
      <c r="B59" s="28" t="s">
        <v>7</v>
      </c>
      <c r="C59" s="35">
        <v>1233190403</v>
      </c>
      <c r="D59" s="28" t="s">
        <v>347</v>
      </c>
      <c r="G59" s="28" t="s">
        <v>344</v>
      </c>
      <c r="H59" s="28" t="s">
        <v>344</v>
      </c>
      <c r="I59" s="28" t="s">
        <v>345</v>
      </c>
      <c r="J59" s="29">
        <v>45804</v>
      </c>
      <c r="K59" s="29" t="s">
        <v>312</v>
      </c>
      <c r="L59" s="29" t="s">
        <v>10</v>
      </c>
      <c r="M59" s="29" t="s">
        <v>245</v>
      </c>
    </row>
    <row r="60" spans="1:15" ht="30" customHeight="1">
      <c r="A60" s="28" t="s">
        <v>218</v>
      </c>
      <c r="B60" s="28" t="s">
        <v>7</v>
      </c>
      <c r="C60" s="35">
        <v>1053813113</v>
      </c>
      <c r="D60" s="37" t="s">
        <v>348</v>
      </c>
      <c r="G60" s="28" t="s">
        <v>349</v>
      </c>
      <c r="H60" s="28" t="s">
        <v>349</v>
      </c>
      <c r="I60" s="28" t="s">
        <v>350</v>
      </c>
      <c r="J60" s="29">
        <v>45804</v>
      </c>
      <c r="K60" s="29" t="s">
        <v>326</v>
      </c>
      <c r="L60" s="29" t="s">
        <v>10</v>
      </c>
      <c r="M60" s="29" t="s">
        <v>245</v>
      </c>
    </row>
    <row r="61" spans="1:15" ht="30" customHeight="1">
      <c r="A61" s="28" t="s">
        <v>45</v>
      </c>
      <c r="B61" s="28" t="s">
        <v>28</v>
      </c>
      <c r="C61" s="28">
        <v>41927677</v>
      </c>
      <c r="D61" s="28" t="s">
        <v>351</v>
      </c>
      <c r="G61" s="28" t="s">
        <v>352</v>
      </c>
      <c r="H61" s="28" t="s">
        <v>352</v>
      </c>
      <c r="I61" s="28" t="s">
        <v>353</v>
      </c>
      <c r="J61" s="29">
        <v>45805</v>
      </c>
      <c r="L61" s="29" t="s">
        <v>320</v>
      </c>
      <c r="M61" s="29" t="s">
        <v>245</v>
      </c>
    </row>
    <row r="62" spans="1:15" ht="30" customHeight="1">
      <c r="A62" s="28" t="s">
        <v>45</v>
      </c>
      <c r="B62" s="28" t="s">
        <v>28</v>
      </c>
      <c r="C62" s="28">
        <v>1093227979</v>
      </c>
      <c r="D62" s="38" t="s">
        <v>354</v>
      </c>
      <c r="G62" s="28" t="s">
        <v>355</v>
      </c>
      <c r="H62" s="28" t="s">
        <v>355</v>
      </c>
      <c r="I62" s="28" t="s">
        <v>353</v>
      </c>
      <c r="J62" s="29">
        <v>45805</v>
      </c>
      <c r="L62" s="29" t="s">
        <v>320</v>
      </c>
      <c r="M62" s="29" t="s">
        <v>245</v>
      </c>
    </row>
    <row r="63" spans="1:15" ht="30" customHeight="1">
      <c r="A63" s="28" t="s">
        <v>45</v>
      </c>
      <c r="B63" s="28" t="s">
        <v>24</v>
      </c>
      <c r="C63" s="28">
        <v>1117505098</v>
      </c>
      <c r="D63" s="28" t="s">
        <v>356</v>
      </c>
      <c r="G63" s="28" t="s">
        <v>357</v>
      </c>
      <c r="H63" s="28" t="s">
        <v>357</v>
      </c>
      <c r="I63" s="28" t="s">
        <v>358</v>
      </c>
      <c r="J63" s="29">
        <v>45805</v>
      </c>
      <c r="L63" s="29" t="s">
        <v>320</v>
      </c>
      <c r="M63" s="29" t="s">
        <v>245</v>
      </c>
    </row>
    <row r="64" spans="1:15" ht="30" customHeight="1">
      <c r="A64" s="28" t="s">
        <v>45</v>
      </c>
      <c r="B64" s="28" t="s">
        <v>29</v>
      </c>
      <c r="C64" s="28">
        <v>1016058775</v>
      </c>
      <c r="D64" s="28" t="s">
        <v>359</v>
      </c>
      <c r="E64" s="28" t="s">
        <v>10</v>
      </c>
      <c r="G64" s="28" t="s">
        <v>360</v>
      </c>
      <c r="H64" s="28" t="s">
        <v>360</v>
      </c>
      <c r="I64" s="28" t="s">
        <v>361</v>
      </c>
      <c r="J64" s="29">
        <v>45805</v>
      </c>
      <c r="L64" s="29" t="s">
        <v>320</v>
      </c>
      <c r="M64" s="29" t="s">
        <v>245</v>
      </c>
    </row>
    <row r="65" spans="1:15" ht="30" customHeight="1">
      <c r="A65" s="28" t="s">
        <v>218</v>
      </c>
      <c r="B65" s="28" t="s">
        <v>26</v>
      </c>
      <c r="D65" s="28" t="s">
        <v>362</v>
      </c>
      <c r="G65" s="28" t="s">
        <v>363</v>
      </c>
      <c r="H65" s="28" t="s">
        <v>363</v>
      </c>
      <c r="I65" s="28" t="s">
        <v>364</v>
      </c>
      <c r="J65" s="29">
        <v>45805</v>
      </c>
      <c r="L65" s="29" t="s">
        <v>320</v>
      </c>
      <c r="M65" s="29" t="s">
        <v>270</v>
      </c>
      <c r="O65" s="28" t="s">
        <v>365</v>
      </c>
    </row>
    <row r="66" spans="1:15" ht="30" customHeight="1">
      <c r="A66" s="28" t="s">
        <v>218</v>
      </c>
      <c r="B66" s="28" t="s">
        <v>30</v>
      </c>
      <c r="D66" s="28" t="s">
        <v>366</v>
      </c>
      <c r="G66" s="28" t="s">
        <v>324</v>
      </c>
      <c r="H66" s="28" t="s">
        <v>324</v>
      </c>
      <c r="I66" s="28" t="s">
        <v>367</v>
      </c>
      <c r="J66" s="29">
        <v>45805</v>
      </c>
      <c r="L66" s="29" t="s">
        <v>16</v>
      </c>
      <c r="M66" s="29" t="s">
        <v>245</v>
      </c>
    </row>
    <row r="67" spans="1:15" ht="30" customHeight="1">
      <c r="A67" s="28" t="s">
        <v>218</v>
      </c>
      <c r="B67" s="28" t="s">
        <v>26</v>
      </c>
      <c r="D67" s="28" t="s">
        <v>368</v>
      </c>
      <c r="G67" s="28" t="s">
        <v>324</v>
      </c>
      <c r="H67" s="28" t="s">
        <v>324</v>
      </c>
      <c r="I67" s="28" t="s">
        <v>367</v>
      </c>
      <c r="J67" s="29">
        <v>45805</v>
      </c>
      <c r="L67" s="29" t="s">
        <v>16</v>
      </c>
      <c r="M67" s="29" t="s">
        <v>245</v>
      </c>
    </row>
    <row r="68" spans="1:15" ht="30" customHeight="1">
      <c r="A68" s="28" t="s">
        <v>218</v>
      </c>
      <c r="B68" s="28" t="s">
        <v>26</v>
      </c>
      <c r="D68" s="28" t="s">
        <v>369</v>
      </c>
      <c r="G68" s="28" t="s">
        <v>324</v>
      </c>
      <c r="H68" s="28" t="s">
        <v>324</v>
      </c>
      <c r="I68" s="28" t="s">
        <v>367</v>
      </c>
      <c r="J68" s="29">
        <v>45805</v>
      </c>
      <c r="L68" s="29" t="s">
        <v>16</v>
      </c>
      <c r="M68" s="29" t="s">
        <v>245</v>
      </c>
    </row>
    <row r="69" spans="1:15" ht="30" customHeight="1">
      <c r="A69" s="28" t="s">
        <v>45</v>
      </c>
      <c r="B69" s="28" t="s">
        <v>20</v>
      </c>
      <c r="D69" s="28" t="s">
        <v>370</v>
      </c>
      <c r="G69" s="28" t="s">
        <v>371</v>
      </c>
      <c r="H69" s="28" t="s">
        <v>371</v>
      </c>
      <c r="I69" s="28" t="s">
        <v>372</v>
      </c>
      <c r="J69" s="29">
        <v>45440</v>
      </c>
      <c r="L69" s="29" t="s">
        <v>320</v>
      </c>
      <c r="M69" s="29" t="s">
        <v>270</v>
      </c>
      <c r="O69" s="28" t="s">
        <v>373</v>
      </c>
    </row>
    <row r="70" spans="1:15" ht="30" customHeight="1">
      <c r="A70" s="28" t="s">
        <v>45</v>
      </c>
      <c r="B70" s="28" t="s">
        <v>20</v>
      </c>
      <c r="D70" s="38" t="s">
        <v>374</v>
      </c>
      <c r="G70" s="28" t="s">
        <v>371</v>
      </c>
      <c r="H70" s="28" t="s">
        <v>371</v>
      </c>
      <c r="I70" s="28" t="s">
        <v>372</v>
      </c>
      <c r="J70" s="29">
        <v>45805</v>
      </c>
      <c r="L70" s="29" t="s">
        <v>320</v>
      </c>
      <c r="M70" s="29" t="s">
        <v>270</v>
      </c>
      <c r="O70" s="28" t="s">
        <v>373</v>
      </c>
    </row>
    <row r="71" spans="1:15" ht="30" customHeight="1">
      <c r="A71" s="28" t="s">
        <v>45</v>
      </c>
      <c r="B71" s="28" t="s">
        <v>20</v>
      </c>
      <c r="C71" s="28">
        <v>1076986918</v>
      </c>
      <c r="D71" s="28" t="s">
        <v>375</v>
      </c>
      <c r="G71" s="28" t="s">
        <v>376</v>
      </c>
      <c r="H71" s="28" t="s">
        <v>376</v>
      </c>
      <c r="I71" s="28" t="s">
        <v>377</v>
      </c>
      <c r="J71" s="29">
        <v>45805</v>
      </c>
      <c r="L71" s="29" t="s">
        <v>320</v>
      </c>
      <c r="M71" s="29" t="s">
        <v>270</v>
      </c>
      <c r="O71" s="28" t="s">
        <v>378</v>
      </c>
    </row>
    <row r="72" spans="1:15" ht="30" customHeight="1">
      <c r="A72" s="28" t="s">
        <v>45</v>
      </c>
      <c r="B72" s="28" t="s">
        <v>20</v>
      </c>
      <c r="C72" s="28">
        <v>24852847</v>
      </c>
      <c r="D72" s="28" t="s">
        <v>379</v>
      </c>
      <c r="G72" s="28" t="s">
        <v>380</v>
      </c>
      <c r="H72" s="28" t="s">
        <v>380</v>
      </c>
      <c r="I72" s="28" t="s">
        <v>381</v>
      </c>
      <c r="J72" s="29">
        <v>45805</v>
      </c>
      <c r="L72" s="29" t="s">
        <v>320</v>
      </c>
      <c r="M72" s="29" t="s">
        <v>270</v>
      </c>
      <c r="O72" s="28" t="s">
        <v>382</v>
      </c>
    </row>
    <row r="73" spans="1:15" ht="30" customHeight="1">
      <c r="A73" s="28" t="s">
        <v>45</v>
      </c>
      <c r="B73" s="28" t="s">
        <v>20</v>
      </c>
      <c r="C73" s="28">
        <v>16774477</v>
      </c>
      <c r="D73" s="28" t="s">
        <v>383</v>
      </c>
      <c r="G73" s="28" t="s">
        <v>380</v>
      </c>
      <c r="H73" s="28" t="s">
        <v>380</v>
      </c>
      <c r="I73" s="28" t="s">
        <v>381</v>
      </c>
      <c r="J73" s="29">
        <v>45805</v>
      </c>
      <c r="L73" s="29" t="s">
        <v>320</v>
      </c>
      <c r="M73" s="29" t="s">
        <v>270</v>
      </c>
      <c r="O73" s="28" t="s">
        <v>382</v>
      </c>
    </row>
    <row r="74" spans="1:15" ht="30" customHeight="1">
      <c r="A74" s="28" t="s">
        <v>45</v>
      </c>
      <c r="B74" s="28" t="s">
        <v>31</v>
      </c>
      <c r="C74" s="28">
        <v>1053819273</v>
      </c>
      <c r="D74" s="28" t="s">
        <v>384</v>
      </c>
      <c r="G74" s="28" t="s">
        <v>385</v>
      </c>
      <c r="H74" s="28" t="s">
        <v>385</v>
      </c>
      <c r="I74" s="28" t="s">
        <v>386</v>
      </c>
      <c r="J74" s="29">
        <v>45805</v>
      </c>
      <c r="L74" s="29" t="s">
        <v>320</v>
      </c>
      <c r="M74" s="29" t="s">
        <v>270</v>
      </c>
      <c r="O74" s="28" t="s">
        <v>378</v>
      </c>
    </row>
    <row r="75" spans="1:15" ht="30" customHeight="1">
      <c r="A75" s="28" t="s">
        <v>220</v>
      </c>
      <c r="B75" s="28" t="s">
        <v>27</v>
      </c>
      <c r="C75" s="28">
        <v>65757226</v>
      </c>
      <c r="D75" s="39" t="s">
        <v>387</v>
      </c>
      <c r="E75" s="28" t="s">
        <v>12</v>
      </c>
      <c r="F75" s="28" t="s">
        <v>216</v>
      </c>
      <c r="G75" s="28" t="s">
        <v>388</v>
      </c>
      <c r="H75" s="28" t="s">
        <v>388</v>
      </c>
      <c r="I75" s="28" t="s">
        <v>389</v>
      </c>
      <c r="J75" s="29">
        <v>45805</v>
      </c>
    </row>
    <row r="76" spans="1:15" ht="30" customHeight="1">
      <c r="A76" s="28" t="s">
        <v>45</v>
      </c>
      <c r="B76" s="28" t="s">
        <v>31</v>
      </c>
      <c r="C76" s="28">
        <v>36311924</v>
      </c>
      <c r="D76" s="28" t="s">
        <v>390</v>
      </c>
      <c r="G76" s="28" t="s">
        <v>360</v>
      </c>
      <c r="H76" s="28" t="s">
        <v>360</v>
      </c>
      <c r="I76" s="28" t="s">
        <v>391</v>
      </c>
      <c r="J76" s="29">
        <v>45805</v>
      </c>
      <c r="L76" s="29" t="s">
        <v>320</v>
      </c>
      <c r="M76" s="29" t="s">
        <v>245</v>
      </c>
    </row>
    <row r="77" spans="1:15" ht="30" customHeight="1">
      <c r="A77" s="28" t="s">
        <v>45</v>
      </c>
      <c r="D77" s="28" t="s">
        <v>392</v>
      </c>
      <c r="G77" s="28" t="s">
        <v>393</v>
      </c>
      <c r="H77" s="28" t="s">
        <v>393</v>
      </c>
      <c r="I77" s="28" t="s">
        <v>394</v>
      </c>
      <c r="J77" s="29">
        <v>45805</v>
      </c>
      <c r="L77" s="29" t="s">
        <v>320</v>
      </c>
      <c r="M77" s="29" t="s">
        <v>245</v>
      </c>
      <c r="O77" s="28" t="s">
        <v>395</v>
      </c>
    </row>
    <row r="78" spans="1:15" ht="30" customHeight="1">
      <c r="A78" s="28" t="s">
        <v>45</v>
      </c>
      <c r="B78" s="28" t="s">
        <v>32</v>
      </c>
      <c r="D78" s="28" t="s">
        <v>396</v>
      </c>
      <c r="G78" s="28" t="s">
        <v>397</v>
      </c>
      <c r="H78" s="28" t="s">
        <v>397</v>
      </c>
      <c r="I78" s="28" t="s">
        <v>398</v>
      </c>
      <c r="J78" s="29">
        <v>45805</v>
      </c>
      <c r="L78" s="29" t="s">
        <v>320</v>
      </c>
      <c r="M78" s="29" t="s">
        <v>270</v>
      </c>
      <c r="O78" s="28" t="s">
        <v>382</v>
      </c>
    </row>
    <row r="79" spans="1:15" ht="30" customHeight="1">
      <c r="A79" s="28" t="s">
        <v>45</v>
      </c>
      <c r="B79" s="28" t="s">
        <v>32</v>
      </c>
      <c r="D79" s="28" t="s">
        <v>399</v>
      </c>
      <c r="G79" s="28" t="s">
        <v>397</v>
      </c>
      <c r="H79" s="28" t="s">
        <v>397</v>
      </c>
      <c r="I79" s="28" t="s">
        <v>398</v>
      </c>
      <c r="J79" s="29">
        <v>45805</v>
      </c>
      <c r="L79" s="29" t="s">
        <v>320</v>
      </c>
      <c r="M79" s="29" t="s">
        <v>270</v>
      </c>
      <c r="O79" s="28" t="s">
        <v>382</v>
      </c>
    </row>
    <row r="80" spans="1:15" ht="30" customHeight="1">
      <c r="A80" s="28" t="s">
        <v>45</v>
      </c>
      <c r="B80" s="28" t="s">
        <v>32</v>
      </c>
      <c r="D80" s="28" t="s">
        <v>400</v>
      </c>
      <c r="G80" s="28" t="s">
        <v>397</v>
      </c>
      <c r="H80" s="28" t="s">
        <v>397</v>
      </c>
      <c r="I80" s="28" t="s">
        <v>398</v>
      </c>
      <c r="J80" s="29">
        <v>45805</v>
      </c>
      <c r="L80" s="29" t="s">
        <v>320</v>
      </c>
      <c r="M80" s="29" t="s">
        <v>270</v>
      </c>
      <c r="O80" s="28" t="s">
        <v>382</v>
      </c>
    </row>
    <row r="81" spans="1:15" ht="30" customHeight="1">
      <c r="A81" s="28" t="s">
        <v>45</v>
      </c>
      <c r="B81" s="28" t="s">
        <v>24</v>
      </c>
      <c r="D81" s="28" t="s">
        <v>401</v>
      </c>
      <c r="G81" s="28" t="s">
        <v>402</v>
      </c>
      <c r="H81" s="28" t="s">
        <v>402</v>
      </c>
      <c r="I81" s="28" t="s">
        <v>403</v>
      </c>
      <c r="J81" s="29">
        <v>45805</v>
      </c>
      <c r="L81" s="29" t="s">
        <v>320</v>
      </c>
      <c r="M81" s="29" t="s">
        <v>270</v>
      </c>
      <c r="O81" s="28" t="s">
        <v>382</v>
      </c>
    </row>
    <row r="82" spans="1:15" ht="30" customHeight="1">
      <c r="A82" s="28" t="s">
        <v>218</v>
      </c>
      <c r="B82" s="28" t="s">
        <v>7</v>
      </c>
      <c r="C82" s="35">
        <v>7179342</v>
      </c>
      <c r="D82" s="28" t="s">
        <v>404</v>
      </c>
      <c r="G82" s="28" t="s">
        <v>211</v>
      </c>
      <c r="H82" s="28" t="s">
        <v>211</v>
      </c>
      <c r="I82" s="28" t="s">
        <v>405</v>
      </c>
      <c r="J82" s="29">
        <v>45805</v>
      </c>
      <c r="K82" s="29" t="s">
        <v>312</v>
      </c>
      <c r="L82" s="29" t="s">
        <v>10</v>
      </c>
      <c r="M82" s="29" t="s">
        <v>245</v>
      </c>
    </row>
    <row r="83" spans="1:15" ht="30" customHeight="1">
      <c r="A83" s="28" t="s">
        <v>218</v>
      </c>
      <c r="B83" s="28" t="s">
        <v>7</v>
      </c>
      <c r="C83" s="35">
        <v>1121870920</v>
      </c>
      <c r="D83" s="28" t="s">
        <v>406</v>
      </c>
      <c r="G83" s="28" t="s">
        <v>211</v>
      </c>
      <c r="H83" s="28" t="s">
        <v>211</v>
      </c>
      <c r="I83" s="28" t="s">
        <v>405</v>
      </c>
      <c r="J83" s="29">
        <v>45805</v>
      </c>
      <c r="K83" s="29" t="s">
        <v>312</v>
      </c>
      <c r="L83" s="29" t="s">
        <v>10</v>
      </c>
      <c r="M83" s="29" t="s">
        <v>245</v>
      </c>
    </row>
    <row r="84" spans="1:15" ht="30" customHeight="1">
      <c r="A84" s="28" t="s">
        <v>218</v>
      </c>
      <c r="B84" s="28" t="s">
        <v>7</v>
      </c>
      <c r="D84" s="28" t="s">
        <v>407</v>
      </c>
      <c r="G84" s="28" t="s">
        <v>408</v>
      </c>
      <c r="H84" s="28" t="s">
        <v>408</v>
      </c>
      <c r="I84" s="28" t="s">
        <v>409</v>
      </c>
      <c r="J84" s="29">
        <v>45805</v>
      </c>
      <c r="L84" s="29" t="s">
        <v>16</v>
      </c>
      <c r="M84" s="29" t="s">
        <v>245</v>
      </c>
    </row>
    <row r="85" spans="1:15" ht="30" customHeight="1">
      <c r="A85" s="28" t="s">
        <v>220</v>
      </c>
      <c r="B85" s="28" t="s">
        <v>33</v>
      </c>
      <c r="D85" s="28" t="s">
        <v>410</v>
      </c>
      <c r="G85" s="28" t="s">
        <v>411</v>
      </c>
      <c r="H85" s="28" t="s">
        <v>411</v>
      </c>
      <c r="I85" s="28" t="s">
        <v>412</v>
      </c>
      <c r="J85" s="29">
        <v>45805</v>
      </c>
      <c r="L85" s="29" t="s">
        <v>16</v>
      </c>
      <c r="M85" s="29" t="s">
        <v>245</v>
      </c>
    </row>
    <row r="86" spans="1:15" ht="30" customHeight="1">
      <c r="A86" s="28" t="s">
        <v>220</v>
      </c>
      <c r="B86" s="28" t="s">
        <v>34</v>
      </c>
      <c r="D86" s="28" t="s">
        <v>413</v>
      </c>
      <c r="G86" s="28" t="s">
        <v>411</v>
      </c>
      <c r="H86" s="28" t="s">
        <v>411</v>
      </c>
      <c r="I86" s="28" t="s">
        <v>412</v>
      </c>
      <c r="J86" s="29">
        <v>45805</v>
      </c>
      <c r="L86" s="29" t="s">
        <v>16</v>
      </c>
      <c r="M86" s="29" t="s">
        <v>245</v>
      </c>
    </row>
    <row r="87" spans="1:15" ht="30" customHeight="1">
      <c r="A87" s="28" t="s">
        <v>220</v>
      </c>
      <c r="B87" s="28" t="s">
        <v>34</v>
      </c>
      <c r="C87" s="28">
        <v>1116274967</v>
      </c>
      <c r="D87" s="28" t="s">
        <v>414</v>
      </c>
      <c r="G87" s="28" t="s">
        <v>415</v>
      </c>
      <c r="H87" s="28" t="s">
        <v>415</v>
      </c>
      <c r="I87" s="28" t="s">
        <v>416</v>
      </c>
      <c r="J87" s="29">
        <v>45805</v>
      </c>
      <c r="L87" s="29" t="s">
        <v>8</v>
      </c>
      <c r="M87" s="29" t="s">
        <v>245</v>
      </c>
    </row>
    <row r="88" spans="1:15" ht="30" customHeight="1">
      <c r="A88" s="28" t="s">
        <v>220</v>
      </c>
      <c r="B88" s="28" t="s">
        <v>35</v>
      </c>
      <c r="C88" s="32">
        <v>1060356321</v>
      </c>
      <c r="D88" s="28" t="s">
        <v>417</v>
      </c>
      <c r="G88" s="28" t="s">
        <v>418</v>
      </c>
      <c r="H88" s="28" t="s">
        <v>418</v>
      </c>
      <c r="I88" s="28" t="s">
        <v>419</v>
      </c>
      <c r="J88" s="29">
        <v>45805</v>
      </c>
      <c r="L88" s="29" t="s">
        <v>8</v>
      </c>
      <c r="M88" s="29" t="s">
        <v>245</v>
      </c>
    </row>
    <row r="89" spans="1:15" ht="30" customHeight="1">
      <c r="A89" s="28" t="s">
        <v>218</v>
      </c>
      <c r="B89" s="28" t="s">
        <v>26</v>
      </c>
      <c r="C89" s="28">
        <v>1002654894</v>
      </c>
      <c r="D89" s="28" t="s">
        <v>323</v>
      </c>
      <c r="G89" s="28" t="s">
        <v>324</v>
      </c>
      <c r="H89" s="28" t="s">
        <v>324</v>
      </c>
      <c r="I89" s="28" t="s">
        <v>325</v>
      </c>
      <c r="J89" s="29">
        <v>45804</v>
      </c>
      <c r="L89" s="29" t="s">
        <v>16</v>
      </c>
      <c r="M89" s="29" t="s">
        <v>245</v>
      </c>
      <c r="O89" s="28" t="s">
        <v>420</v>
      </c>
    </row>
    <row r="90" spans="1:15" ht="30" customHeight="1">
      <c r="A90" s="28" t="s">
        <v>218</v>
      </c>
      <c r="B90" s="28" t="s">
        <v>26</v>
      </c>
      <c r="C90" s="28">
        <v>1002619297</v>
      </c>
      <c r="D90" s="28" t="s">
        <v>327</v>
      </c>
      <c r="G90" s="28" t="s">
        <v>324</v>
      </c>
      <c r="H90" s="28" t="s">
        <v>324</v>
      </c>
      <c r="I90" s="28" t="s">
        <v>325</v>
      </c>
      <c r="J90" s="29">
        <v>45804</v>
      </c>
      <c r="L90" s="29" t="s">
        <v>16</v>
      </c>
      <c r="M90" s="29" t="s">
        <v>245</v>
      </c>
      <c r="O90" s="28" t="s">
        <v>420</v>
      </c>
    </row>
    <row r="91" spans="1:15" ht="30" customHeight="1">
      <c r="A91" s="28" t="s">
        <v>218</v>
      </c>
      <c r="B91" s="28" t="s">
        <v>26</v>
      </c>
      <c r="C91" s="28">
        <v>1053848609</v>
      </c>
      <c r="D91" s="28" t="s">
        <v>328</v>
      </c>
      <c r="G91" s="28" t="s">
        <v>324</v>
      </c>
      <c r="H91" s="28" t="s">
        <v>324</v>
      </c>
      <c r="I91" s="28" t="s">
        <v>325</v>
      </c>
      <c r="J91" s="29">
        <v>45804</v>
      </c>
      <c r="L91" s="29" t="s">
        <v>16</v>
      </c>
      <c r="M91" s="29" t="s">
        <v>245</v>
      </c>
      <c r="O91" s="28" t="s">
        <v>420</v>
      </c>
    </row>
    <row r="92" spans="1:15" ht="30" customHeight="1">
      <c r="A92" s="28" t="s">
        <v>218</v>
      </c>
      <c r="B92" s="28" t="s">
        <v>7</v>
      </c>
      <c r="D92" s="28" t="s">
        <v>290</v>
      </c>
      <c r="I92" s="28" t="s">
        <v>421</v>
      </c>
      <c r="J92" s="29">
        <v>45805</v>
      </c>
      <c r="K92" s="29" t="s">
        <v>312</v>
      </c>
      <c r="L92" s="29" t="s">
        <v>10</v>
      </c>
      <c r="M92" s="29" t="s">
        <v>245</v>
      </c>
      <c r="O92" s="31" t="s">
        <v>422</v>
      </c>
    </row>
    <row r="93" spans="1:15" ht="30" customHeight="1">
      <c r="A93" s="28" t="s">
        <v>218</v>
      </c>
      <c r="B93" s="28" t="s">
        <v>7</v>
      </c>
      <c r="D93" s="28" t="s">
        <v>423</v>
      </c>
      <c r="I93" s="28" t="s">
        <v>421</v>
      </c>
      <c r="J93" s="29">
        <v>45805</v>
      </c>
      <c r="K93" s="29" t="s">
        <v>312</v>
      </c>
      <c r="L93" s="29" t="s">
        <v>10</v>
      </c>
      <c r="M93" s="29" t="s">
        <v>245</v>
      </c>
      <c r="O93" s="31" t="s">
        <v>422</v>
      </c>
    </row>
    <row r="94" spans="1:15" ht="30" customHeight="1">
      <c r="A94" s="28" t="s">
        <v>220</v>
      </c>
      <c r="B94" s="28" t="s">
        <v>27</v>
      </c>
      <c r="D94" s="28" t="s">
        <v>424</v>
      </c>
      <c r="G94" s="49" t="s">
        <v>425</v>
      </c>
      <c r="H94" s="49" t="s">
        <v>425</v>
      </c>
      <c r="I94" s="28" t="s">
        <v>426</v>
      </c>
      <c r="J94" s="29">
        <v>45805</v>
      </c>
      <c r="L94" s="29" t="s">
        <v>8</v>
      </c>
      <c r="M94" s="29" t="s">
        <v>270</v>
      </c>
      <c r="O94" s="28" t="s">
        <v>427</v>
      </c>
    </row>
    <row r="95" spans="1:15" ht="30" customHeight="1">
      <c r="A95" s="28" t="s">
        <v>220</v>
      </c>
      <c r="B95" s="28" t="s">
        <v>19</v>
      </c>
      <c r="D95" s="40" t="s">
        <v>247</v>
      </c>
      <c r="E95" s="28" t="s">
        <v>12</v>
      </c>
      <c r="F95" s="28" t="s">
        <v>214</v>
      </c>
      <c r="G95" s="28" t="s">
        <v>428</v>
      </c>
      <c r="H95" s="28" t="s">
        <v>428</v>
      </c>
      <c r="I95" s="40" t="s">
        <v>429</v>
      </c>
      <c r="J95" s="29">
        <v>45805</v>
      </c>
      <c r="L95" s="29" t="s">
        <v>8</v>
      </c>
      <c r="M95" s="29" t="s">
        <v>270</v>
      </c>
      <c r="O95" s="28" t="s">
        <v>430</v>
      </c>
    </row>
    <row r="96" spans="1:15" ht="30" customHeight="1">
      <c r="A96" s="28" t="s">
        <v>218</v>
      </c>
      <c r="B96" s="28" t="s">
        <v>26</v>
      </c>
      <c r="C96" s="28">
        <v>1053865213</v>
      </c>
      <c r="D96" s="28" t="s">
        <v>431</v>
      </c>
      <c r="G96" s="28" t="s">
        <v>432</v>
      </c>
      <c r="H96" s="28" t="s">
        <v>432</v>
      </c>
      <c r="J96" s="29">
        <v>45805</v>
      </c>
      <c r="K96" s="29" t="s">
        <v>312</v>
      </c>
      <c r="O96" s="28" t="s">
        <v>433</v>
      </c>
    </row>
    <row r="97" spans="1:15" ht="30" customHeight="1">
      <c r="A97" s="28" t="s">
        <v>217</v>
      </c>
      <c r="B97" s="28" t="s">
        <v>36</v>
      </c>
      <c r="C97" s="28">
        <v>1005570073</v>
      </c>
      <c r="D97" s="28" t="s">
        <v>434</v>
      </c>
      <c r="E97" s="28" t="s">
        <v>10</v>
      </c>
      <c r="G97" s="28" t="s">
        <v>435</v>
      </c>
      <c r="H97" s="28" t="s">
        <v>435</v>
      </c>
      <c r="I97" s="28" t="s">
        <v>436</v>
      </c>
      <c r="J97" s="29">
        <v>45805</v>
      </c>
      <c r="K97" s="29" t="s">
        <v>312</v>
      </c>
      <c r="L97" s="29" t="s">
        <v>10</v>
      </c>
      <c r="M97" s="29" t="s">
        <v>245</v>
      </c>
    </row>
    <row r="98" spans="1:15" ht="30" customHeight="1">
      <c r="A98" s="28" t="s">
        <v>220</v>
      </c>
      <c r="B98" s="28" t="s">
        <v>23</v>
      </c>
      <c r="C98" s="28">
        <v>25480527</v>
      </c>
      <c r="D98" s="28" t="s">
        <v>437</v>
      </c>
      <c r="G98" s="28" t="s">
        <v>438</v>
      </c>
      <c r="H98" s="28" t="s">
        <v>438</v>
      </c>
      <c r="I98" s="28" t="s">
        <v>293</v>
      </c>
      <c r="J98" s="29">
        <v>45805</v>
      </c>
      <c r="K98" s="29" t="s">
        <v>312</v>
      </c>
      <c r="L98" s="29" t="s">
        <v>10</v>
      </c>
      <c r="M98" s="29" t="s">
        <v>245</v>
      </c>
    </row>
    <row r="99" spans="1:15" ht="30" customHeight="1">
      <c r="A99" s="28" t="s">
        <v>220</v>
      </c>
      <c r="B99" s="28" t="s">
        <v>23</v>
      </c>
      <c r="C99" s="28">
        <v>34328764</v>
      </c>
      <c r="D99" s="28" t="s">
        <v>439</v>
      </c>
      <c r="G99" s="28" t="s">
        <v>438</v>
      </c>
      <c r="H99" s="28" t="s">
        <v>438</v>
      </c>
      <c r="I99" s="28" t="s">
        <v>293</v>
      </c>
      <c r="J99" s="29">
        <v>45805</v>
      </c>
      <c r="K99" s="29" t="s">
        <v>312</v>
      </c>
      <c r="L99" s="29" t="s">
        <v>10</v>
      </c>
      <c r="M99" s="29" t="s">
        <v>245</v>
      </c>
    </row>
    <row r="100" spans="1:15" ht="30" customHeight="1">
      <c r="A100" s="28" t="s">
        <v>220</v>
      </c>
      <c r="B100" s="28" t="s">
        <v>23</v>
      </c>
      <c r="C100" s="28">
        <v>1061737473</v>
      </c>
      <c r="D100" s="28" t="s">
        <v>440</v>
      </c>
      <c r="G100" s="28" t="s">
        <v>438</v>
      </c>
      <c r="H100" s="28" t="s">
        <v>438</v>
      </c>
      <c r="I100" s="28" t="s">
        <v>293</v>
      </c>
      <c r="J100" s="29">
        <v>45805</v>
      </c>
      <c r="K100" s="29" t="s">
        <v>312</v>
      </c>
      <c r="L100" s="29" t="s">
        <v>10</v>
      </c>
      <c r="M100" s="29" t="s">
        <v>245</v>
      </c>
    </row>
    <row r="101" spans="1:15" ht="30" customHeight="1">
      <c r="A101" s="28" t="s">
        <v>220</v>
      </c>
      <c r="B101" s="28" t="s">
        <v>27</v>
      </c>
      <c r="C101" s="28">
        <v>79731366</v>
      </c>
      <c r="D101" s="28" t="s">
        <v>441</v>
      </c>
      <c r="G101" s="28" t="s">
        <v>442</v>
      </c>
      <c r="H101" s="28" t="s">
        <v>442</v>
      </c>
      <c r="I101" s="28" t="s">
        <v>341</v>
      </c>
      <c r="J101" s="29">
        <v>45805</v>
      </c>
      <c r="L101" s="29" t="s">
        <v>8</v>
      </c>
      <c r="M101" s="29" t="s">
        <v>245</v>
      </c>
    </row>
    <row r="102" spans="1:15" ht="30" customHeight="1">
      <c r="A102" s="28" t="s">
        <v>218</v>
      </c>
      <c r="B102" s="28" t="s">
        <v>7</v>
      </c>
      <c r="C102" s="28">
        <v>1052408139</v>
      </c>
      <c r="D102" s="28" t="s">
        <v>443</v>
      </c>
      <c r="E102" s="28" t="s">
        <v>8</v>
      </c>
      <c r="G102" s="28" t="s">
        <v>444</v>
      </c>
      <c r="H102" s="28" t="s">
        <v>444</v>
      </c>
      <c r="I102" s="28" t="s">
        <v>445</v>
      </c>
      <c r="J102" s="29">
        <v>45805</v>
      </c>
      <c r="K102" s="29" t="s">
        <v>312</v>
      </c>
      <c r="L102" s="29" t="s">
        <v>10</v>
      </c>
      <c r="M102" s="29" t="s">
        <v>245</v>
      </c>
      <c r="N102" s="41"/>
    </row>
    <row r="103" spans="1:15" ht="30" customHeight="1">
      <c r="A103" s="28" t="s">
        <v>218</v>
      </c>
      <c r="B103" s="28" t="s">
        <v>7</v>
      </c>
      <c r="C103" s="28">
        <v>1081395661</v>
      </c>
      <c r="D103" s="28" t="s">
        <v>446</v>
      </c>
      <c r="E103" s="28" t="s">
        <v>8</v>
      </c>
      <c r="G103" s="28" t="s">
        <v>444</v>
      </c>
      <c r="H103" s="28" t="s">
        <v>444</v>
      </c>
      <c r="I103" s="28" t="s">
        <v>445</v>
      </c>
      <c r="J103" s="29">
        <v>45805</v>
      </c>
      <c r="K103" s="29" t="s">
        <v>312</v>
      </c>
      <c r="L103" s="29" t="s">
        <v>10</v>
      </c>
      <c r="M103" s="29" t="s">
        <v>245</v>
      </c>
    </row>
    <row r="104" spans="1:15" ht="30" customHeight="1">
      <c r="A104" s="28" t="s">
        <v>218</v>
      </c>
      <c r="B104" s="28" t="s">
        <v>7</v>
      </c>
      <c r="C104" s="28">
        <v>1053850322</v>
      </c>
      <c r="D104" s="28" t="s">
        <v>447</v>
      </c>
      <c r="E104" s="28" t="s">
        <v>10</v>
      </c>
      <c r="F104" s="28" t="s">
        <v>214</v>
      </c>
      <c r="G104" s="28" t="s">
        <v>448</v>
      </c>
      <c r="H104" s="28" t="s">
        <v>448</v>
      </c>
      <c r="I104" s="28" t="s">
        <v>449</v>
      </c>
      <c r="J104" s="29">
        <v>45805</v>
      </c>
      <c r="K104" s="29" t="s">
        <v>312</v>
      </c>
      <c r="L104" s="29" t="s">
        <v>10</v>
      </c>
      <c r="M104" s="29" t="s">
        <v>245</v>
      </c>
    </row>
    <row r="105" spans="1:15" ht="30" customHeight="1">
      <c r="A105" s="28" t="s">
        <v>218</v>
      </c>
      <c r="B105" s="28" t="s">
        <v>7</v>
      </c>
      <c r="C105" s="28">
        <v>1087561999</v>
      </c>
      <c r="D105" s="28" t="s">
        <v>450</v>
      </c>
      <c r="E105" s="28" t="s">
        <v>10</v>
      </c>
      <c r="F105" s="28" t="s">
        <v>214</v>
      </c>
      <c r="G105" s="28" t="s">
        <v>448</v>
      </c>
      <c r="H105" s="28" t="s">
        <v>448</v>
      </c>
      <c r="I105" s="28" t="s">
        <v>449</v>
      </c>
      <c r="J105" s="29">
        <v>45805</v>
      </c>
      <c r="K105" s="29" t="s">
        <v>312</v>
      </c>
      <c r="L105" s="29" t="s">
        <v>10</v>
      </c>
      <c r="M105" s="29" t="s">
        <v>245</v>
      </c>
    </row>
    <row r="106" spans="1:15" ht="30" customHeight="1">
      <c r="A106" s="28" t="s">
        <v>217</v>
      </c>
      <c r="B106" s="28" t="s">
        <v>21</v>
      </c>
      <c r="C106" s="35">
        <v>52430404</v>
      </c>
      <c r="D106" s="28" t="s">
        <v>451</v>
      </c>
      <c r="G106" s="28" t="s">
        <v>452</v>
      </c>
      <c r="H106" s="28" t="s">
        <v>452</v>
      </c>
      <c r="J106" s="29">
        <v>45805</v>
      </c>
      <c r="K106" s="29" t="s">
        <v>312</v>
      </c>
      <c r="O106" s="28" t="s">
        <v>453</v>
      </c>
    </row>
    <row r="107" spans="1:15" ht="30" customHeight="1">
      <c r="A107" s="28" t="s">
        <v>217</v>
      </c>
      <c r="B107" s="28" t="s">
        <v>25</v>
      </c>
      <c r="D107" s="28" t="s">
        <v>454</v>
      </c>
      <c r="G107" s="28" t="s">
        <v>455</v>
      </c>
      <c r="H107" s="28" t="s">
        <v>455</v>
      </c>
      <c r="I107" s="28" t="s">
        <v>456</v>
      </c>
      <c r="J107" s="29">
        <v>45805</v>
      </c>
      <c r="K107" s="28" t="s">
        <v>312</v>
      </c>
      <c r="L107" s="28" t="s">
        <v>16</v>
      </c>
      <c r="M107" s="29" t="s">
        <v>245</v>
      </c>
      <c r="N107" s="28"/>
    </row>
    <row r="108" spans="1:15" ht="30" customHeight="1">
      <c r="A108" s="28" t="s">
        <v>220</v>
      </c>
      <c r="B108" s="28" t="s">
        <v>23</v>
      </c>
      <c r="D108" s="28" t="s">
        <v>457</v>
      </c>
      <c r="G108" s="28" t="s">
        <v>458</v>
      </c>
      <c r="H108" s="28" t="s">
        <v>458</v>
      </c>
      <c r="I108" s="28" t="s">
        <v>459</v>
      </c>
      <c r="J108" s="29">
        <v>45806</v>
      </c>
      <c r="L108" s="29" t="s">
        <v>16</v>
      </c>
      <c r="M108" s="29" t="s">
        <v>245</v>
      </c>
    </row>
    <row r="109" spans="1:15" ht="30" customHeight="1">
      <c r="A109" s="28" t="s">
        <v>220</v>
      </c>
      <c r="B109" s="28" t="s">
        <v>23</v>
      </c>
      <c r="D109" s="28" t="s">
        <v>460</v>
      </c>
      <c r="G109" s="28" t="s">
        <v>458</v>
      </c>
      <c r="H109" s="28" t="s">
        <v>458</v>
      </c>
      <c r="I109" s="28" t="s">
        <v>459</v>
      </c>
      <c r="J109" s="29">
        <v>45806</v>
      </c>
      <c r="L109" s="29" t="s">
        <v>16</v>
      </c>
      <c r="M109" s="29" t="s">
        <v>245</v>
      </c>
    </row>
    <row r="110" spans="1:15" ht="30" customHeight="1">
      <c r="A110" s="28" t="s">
        <v>218</v>
      </c>
      <c r="B110" s="28" t="s">
        <v>7</v>
      </c>
      <c r="D110" s="28" t="s">
        <v>461</v>
      </c>
      <c r="E110" s="28" t="s">
        <v>8</v>
      </c>
      <c r="G110" s="28" t="s">
        <v>462</v>
      </c>
      <c r="H110" s="28" t="s">
        <v>462</v>
      </c>
      <c r="I110" s="28" t="s">
        <v>305</v>
      </c>
      <c r="J110" s="29">
        <v>45806</v>
      </c>
      <c r="K110" s="29" t="s">
        <v>312</v>
      </c>
      <c r="L110" s="29" t="s">
        <v>10</v>
      </c>
      <c r="M110" s="29" t="s">
        <v>245</v>
      </c>
    </row>
    <row r="111" spans="1:15" ht="30" customHeight="1">
      <c r="A111" s="28" t="s">
        <v>218</v>
      </c>
      <c r="B111" s="28" t="s">
        <v>7</v>
      </c>
      <c r="D111" s="28" t="s">
        <v>463</v>
      </c>
      <c r="E111" s="28" t="s">
        <v>8</v>
      </c>
      <c r="G111" s="28" t="s">
        <v>462</v>
      </c>
      <c r="H111" s="28" t="s">
        <v>462</v>
      </c>
      <c r="I111" s="28" t="s">
        <v>305</v>
      </c>
      <c r="J111" s="29">
        <v>45806</v>
      </c>
      <c r="K111" s="29" t="s">
        <v>312</v>
      </c>
      <c r="L111" s="29" t="s">
        <v>10</v>
      </c>
      <c r="M111" s="29" t="s">
        <v>245</v>
      </c>
    </row>
    <row r="112" spans="1:15" ht="30" customHeight="1">
      <c r="A112" s="28" t="s">
        <v>218</v>
      </c>
      <c r="B112" s="28" t="s">
        <v>7</v>
      </c>
      <c r="D112" s="28" t="s">
        <v>464</v>
      </c>
      <c r="G112" s="28" t="s">
        <v>465</v>
      </c>
      <c r="H112" s="28" t="s">
        <v>465</v>
      </c>
      <c r="I112" s="28" t="s">
        <v>466</v>
      </c>
      <c r="J112" s="29">
        <v>45806</v>
      </c>
      <c r="L112" s="29" t="s">
        <v>16</v>
      </c>
      <c r="M112" s="29" t="s">
        <v>245</v>
      </c>
    </row>
    <row r="113" spans="1:15" ht="30" customHeight="1">
      <c r="A113" s="28" t="s">
        <v>218</v>
      </c>
      <c r="B113" s="28" t="s">
        <v>7</v>
      </c>
      <c r="D113" s="28" t="s">
        <v>467</v>
      </c>
      <c r="G113" s="28" t="s">
        <v>465</v>
      </c>
      <c r="H113" s="28" t="s">
        <v>465</v>
      </c>
      <c r="I113" s="28" t="s">
        <v>466</v>
      </c>
      <c r="J113" s="29">
        <v>45806</v>
      </c>
      <c r="L113" s="29" t="s">
        <v>16</v>
      </c>
      <c r="M113" s="29" t="s">
        <v>245</v>
      </c>
    </row>
    <row r="114" spans="1:15" ht="30" customHeight="1">
      <c r="A114" s="28" t="s">
        <v>218</v>
      </c>
      <c r="B114" s="28" t="s">
        <v>7</v>
      </c>
      <c r="D114" s="28" t="s">
        <v>468</v>
      </c>
      <c r="G114" s="28" t="s">
        <v>465</v>
      </c>
      <c r="H114" s="28" t="s">
        <v>465</v>
      </c>
      <c r="I114" s="28" t="s">
        <v>466</v>
      </c>
      <c r="J114" s="29">
        <v>45806</v>
      </c>
      <c r="L114" s="29" t="s">
        <v>16</v>
      </c>
      <c r="M114" s="29" t="s">
        <v>245</v>
      </c>
    </row>
    <row r="115" spans="1:15" ht="30" customHeight="1">
      <c r="A115" s="28" t="s">
        <v>218</v>
      </c>
      <c r="B115" s="28" t="s">
        <v>7</v>
      </c>
      <c r="D115" s="28" t="s">
        <v>469</v>
      </c>
      <c r="G115" s="28" t="s">
        <v>470</v>
      </c>
      <c r="H115" s="28" t="s">
        <v>470</v>
      </c>
      <c r="I115" s="28" t="s">
        <v>471</v>
      </c>
      <c r="J115" s="29">
        <v>45806</v>
      </c>
      <c r="L115" s="29" t="s">
        <v>10</v>
      </c>
      <c r="M115" s="29" t="s">
        <v>245</v>
      </c>
    </row>
    <row r="116" spans="1:15" ht="30" customHeight="1">
      <c r="A116" s="28" t="s">
        <v>217</v>
      </c>
      <c r="B116" s="28" t="s">
        <v>20</v>
      </c>
      <c r="D116" s="28" t="s">
        <v>472</v>
      </c>
      <c r="G116" s="28" t="s">
        <v>473</v>
      </c>
      <c r="H116" s="28" t="s">
        <v>473</v>
      </c>
      <c r="I116" s="28" t="s">
        <v>474</v>
      </c>
      <c r="J116" s="29">
        <v>45806</v>
      </c>
      <c r="L116" s="29" t="s">
        <v>320</v>
      </c>
      <c r="M116" s="29" t="s">
        <v>245</v>
      </c>
      <c r="O116" s="34" t="s">
        <v>475</v>
      </c>
    </row>
    <row r="117" spans="1:15" ht="30" customHeight="1">
      <c r="A117" s="28" t="s">
        <v>217</v>
      </c>
      <c r="B117" s="28" t="s">
        <v>21</v>
      </c>
      <c r="D117" s="28" t="s">
        <v>476</v>
      </c>
      <c r="G117" s="28" t="s">
        <v>477</v>
      </c>
      <c r="H117" s="28" t="s">
        <v>477</v>
      </c>
      <c r="I117" s="28" t="s">
        <v>478</v>
      </c>
      <c r="J117" s="29">
        <v>45806</v>
      </c>
      <c r="L117" s="29" t="s">
        <v>320</v>
      </c>
      <c r="M117" s="29" t="s">
        <v>245</v>
      </c>
      <c r="O117" s="28" t="s">
        <v>479</v>
      </c>
    </row>
    <row r="118" spans="1:15" ht="30" customHeight="1">
      <c r="A118" s="28" t="s">
        <v>217</v>
      </c>
      <c r="B118" s="28" t="s">
        <v>20</v>
      </c>
      <c r="D118" s="28" t="s">
        <v>480</v>
      </c>
      <c r="G118" s="28" t="s">
        <v>477</v>
      </c>
      <c r="H118" s="28" t="s">
        <v>477</v>
      </c>
      <c r="I118" s="28" t="s">
        <v>478</v>
      </c>
      <c r="J118" s="29">
        <v>45806</v>
      </c>
      <c r="L118" s="29" t="s">
        <v>320</v>
      </c>
      <c r="M118" s="29" t="s">
        <v>245</v>
      </c>
      <c r="O118" s="34" t="s">
        <v>481</v>
      </c>
    </row>
    <row r="119" spans="1:15" ht="30" customHeight="1">
      <c r="A119" s="28" t="s">
        <v>217</v>
      </c>
      <c r="B119" s="28" t="s">
        <v>21</v>
      </c>
      <c r="C119" s="35">
        <v>52430404</v>
      </c>
      <c r="D119" s="28" t="s">
        <v>482</v>
      </c>
      <c r="G119" s="28" t="s">
        <v>483</v>
      </c>
      <c r="H119" s="28" t="s">
        <v>483</v>
      </c>
      <c r="I119" s="28" t="s">
        <v>484</v>
      </c>
      <c r="J119" s="29">
        <v>45806</v>
      </c>
      <c r="L119" s="29" t="s">
        <v>320</v>
      </c>
      <c r="M119" s="29" t="s">
        <v>245</v>
      </c>
    </row>
    <row r="120" spans="1:15" ht="30" customHeight="1">
      <c r="A120" s="28" t="s">
        <v>217</v>
      </c>
      <c r="B120" s="28" t="s">
        <v>21</v>
      </c>
      <c r="C120" s="28">
        <v>1113664174</v>
      </c>
      <c r="D120" s="28" t="s">
        <v>485</v>
      </c>
      <c r="G120" s="28" t="s">
        <v>486</v>
      </c>
      <c r="H120" s="42" t="s">
        <v>486</v>
      </c>
      <c r="I120" s="28" t="s">
        <v>487</v>
      </c>
      <c r="J120" s="29">
        <v>45806</v>
      </c>
      <c r="L120" s="29" t="s">
        <v>320</v>
      </c>
      <c r="M120" s="29" t="s">
        <v>245</v>
      </c>
    </row>
    <row r="121" spans="1:15" ht="30" customHeight="1">
      <c r="A121" s="28" t="s">
        <v>218</v>
      </c>
      <c r="B121" s="28" t="s">
        <v>7</v>
      </c>
      <c r="C121" s="35">
        <v>1118557352</v>
      </c>
      <c r="D121" s="28" t="s">
        <v>488</v>
      </c>
      <c r="E121" s="28" t="s">
        <v>10</v>
      </c>
      <c r="G121" s="28" t="s">
        <v>489</v>
      </c>
      <c r="H121" s="28" t="s">
        <v>489</v>
      </c>
      <c r="I121" s="28" t="s">
        <v>490</v>
      </c>
      <c r="J121" s="29">
        <v>45806</v>
      </c>
      <c r="L121" s="29" t="s">
        <v>10</v>
      </c>
      <c r="M121" s="29" t="s">
        <v>245</v>
      </c>
    </row>
    <row r="122" spans="1:15" ht="30" customHeight="1">
      <c r="A122" s="28" t="s">
        <v>218</v>
      </c>
      <c r="B122" s="28" t="s">
        <v>7</v>
      </c>
      <c r="C122" s="35">
        <v>1143259357</v>
      </c>
      <c r="D122" s="28" t="s">
        <v>491</v>
      </c>
      <c r="E122" s="28" t="s">
        <v>10</v>
      </c>
      <c r="G122" s="28" t="s">
        <v>489</v>
      </c>
      <c r="H122" s="28" t="s">
        <v>489</v>
      </c>
      <c r="I122" s="28" t="s">
        <v>490</v>
      </c>
      <c r="J122" s="29">
        <v>45806</v>
      </c>
      <c r="L122" s="29" t="s">
        <v>10</v>
      </c>
      <c r="M122" s="29" t="s">
        <v>245</v>
      </c>
    </row>
    <row r="123" spans="1:15" ht="30" customHeight="1">
      <c r="A123" s="28" t="s">
        <v>218</v>
      </c>
      <c r="B123" s="28" t="s">
        <v>7</v>
      </c>
      <c r="C123" s="35">
        <v>86048758</v>
      </c>
      <c r="D123" s="28" t="s">
        <v>492</v>
      </c>
      <c r="E123" s="28" t="s">
        <v>10</v>
      </c>
      <c r="G123" s="28" t="s">
        <v>489</v>
      </c>
      <c r="H123" s="28" t="s">
        <v>489</v>
      </c>
      <c r="I123" s="28" t="s">
        <v>490</v>
      </c>
      <c r="J123" s="29">
        <v>45806</v>
      </c>
      <c r="L123" s="29" t="s">
        <v>10</v>
      </c>
      <c r="M123" s="29" t="s">
        <v>245</v>
      </c>
    </row>
    <row r="124" spans="1:15" ht="30" customHeight="1">
      <c r="A124" s="28" t="s">
        <v>218</v>
      </c>
      <c r="B124" s="28" t="s">
        <v>7</v>
      </c>
      <c r="C124" s="35">
        <v>1140837616</v>
      </c>
      <c r="D124" s="28" t="s">
        <v>493</v>
      </c>
      <c r="E124" s="28" t="s">
        <v>10</v>
      </c>
      <c r="G124" s="28" t="s">
        <v>489</v>
      </c>
      <c r="H124" s="28" t="s">
        <v>489</v>
      </c>
      <c r="I124" s="28" t="s">
        <v>490</v>
      </c>
      <c r="J124" s="29">
        <v>45806</v>
      </c>
      <c r="L124" s="29" t="s">
        <v>10</v>
      </c>
      <c r="M124" s="29" t="s">
        <v>245</v>
      </c>
    </row>
    <row r="125" spans="1:15" ht="30" customHeight="1">
      <c r="A125" s="28" t="s">
        <v>218</v>
      </c>
      <c r="B125" s="28" t="s">
        <v>7</v>
      </c>
      <c r="C125" s="35">
        <v>1096951048</v>
      </c>
      <c r="D125" s="28" t="s">
        <v>494</v>
      </c>
      <c r="E125" s="28" t="s">
        <v>10</v>
      </c>
      <c r="G125" s="28" t="s">
        <v>489</v>
      </c>
      <c r="H125" s="28" t="s">
        <v>489</v>
      </c>
      <c r="I125" s="28" t="s">
        <v>490</v>
      </c>
      <c r="J125" s="29">
        <v>45806</v>
      </c>
      <c r="L125" s="29" t="s">
        <v>10</v>
      </c>
      <c r="M125" s="29" t="s">
        <v>245</v>
      </c>
    </row>
    <row r="126" spans="1:15" ht="30" customHeight="1">
      <c r="A126" s="28" t="s">
        <v>220</v>
      </c>
      <c r="B126" s="28" t="s">
        <v>22</v>
      </c>
      <c r="C126" s="32">
        <v>1038131819</v>
      </c>
      <c r="D126" s="28" t="s">
        <v>495</v>
      </c>
      <c r="E126" s="28" t="s">
        <v>8</v>
      </c>
      <c r="G126" s="28" t="s">
        <v>496</v>
      </c>
      <c r="H126" s="28" t="s">
        <v>496</v>
      </c>
      <c r="I126" s="28" t="s">
        <v>497</v>
      </c>
      <c r="J126" s="29">
        <v>45806</v>
      </c>
      <c r="L126" s="29" t="s">
        <v>8</v>
      </c>
      <c r="M126" s="29" t="s">
        <v>245</v>
      </c>
    </row>
    <row r="127" spans="1:15" ht="30" customHeight="1">
      <c r="A127" s="28" t="s">
        <v>220</v>
      </c>
      <c r="B127" s="28" t="s">
        <v>22</v>
      </c>
      <c r="C127" s="28">
        <v>1059810800</v>
      </c>
      <c r="D127" s="28" t="s">
        <v>498</v>
      </c>
      <c r="E127" s="28" t="s">
        <v>8</v>
      </c>
      <c r="G127" s="28" t="s">
        <v>496</v>
      </c>
      <c r="H127" s="28" t="s">
        <v>496</v>
      </c>
      <c r="I127" s="28" t="s">
        <v>497</v>
      </c>
      <c r="J127" s="29">
        <v>45806</v>
      </c>
      <c r="L127" s="29" t="s">
        <v>8</v>
      </c>
      <c r="M127" s="29" t="s">
        <v>245</v>
      </c>
    </row>
    <row r="128" spans="1:15" ht="30" customHeight="1">
      <c r="A128" s="28" t="s">
        <v>220</v>
      </c>
      <c r="B128" s="28" t="s">
        <v>22</v>
      </c>
      <c r="C128" s="28">
        <v>1059810800</v>
      </c>
      <c r="D128" s="28" t="s">
        <v>499</v>
      </c>
      <c r="E128" s="28" t="s">
        <v>12</v>
      </c>
      <c r="F128" s="28" t="s">
        <v>216</v>
      </c>
      <c r="G128" s="28" t="s">
        <v>500</v>
      </c>
      <c r="H128" s="28" t="s">
        <v>500</v>
      </c>
      <c r="I128" s="28" t="s">
        <v>497</v>
      </c>
      <c r="J128" s="29">
        <v>45806</v>
      </c>
    </row>
    <row r="129" spans="1:15" ht="30" customHeight="1">
      <c r="A129" s="28" t="s">
        <v>217</v>
      </c>
      <c r="B129" s="28" t="s">
        <v>25</v>
      </c>
      <c r="C129" s="28">
        <v>1079177948</v>
      </c>
      <c r="D129" s="28" t="s">
        <v>501</v>
      </c>
      <c r="I129" s="28" t="s">
        <v>502</v>
      </c>
      <c r="J129" s="29">
        <v>45807</v>
      </c>
      <c r="K129" s="28" t="s">
        <v>312</v>
      </c>
      <c r="L129" s="28" t="s">
        <v>320</v>
      </c>
      <c r="M129" s="29" t="s">
        <v>245</v>
      </c>
      <c r="N129" s="28"/>
    </row>
    <row r="130" spans="1:15" ht="30" customHeight="1">
      <c r="A130" s="28" t="s">
        <v>217</v>
      </c>
      <c r="B130" s="28" t="s">
        <v>37</v>
      </c>
      <c r="D130" s="28" t="s">
        <v>503</v>
      </c>
      <c r="I130" s="28" t="s">
        <v>504</v>
      </c>
      <c r="J130" s="29">
        <v>45807</v>
      </c>
      <c r="K130" s="28"/>
      <c r="L130" s="28" t="s">
        <v>320</v>
      </c>
      <c r="M130" s="29" t="s">
        <v>245</v>
      </c>
      <c r="N130" s="28"/>
      <c r="O130" s="28" t="s">
        <v>505</v>
      </c>
    </row>
    <row r="131" spans="1:15" ht="30" customHeight="1">
      <c r="A131" s="28" t="s">
        <v>217</v>
      </c>
      <c r="B131" s="28" t="s">
        <v>38</v>
      </c>
      <c r="D131" s="28" t="s">
        <v>506</v>
      </c>
      <c r="E131" s="28" t="s">
        <v>10</v>
      </c>
      <c r="G131" s="28" t="s">
        <v>507</v>
      </c>
      <c r="H131" s="28" t="s">
        <v>507</v>
      </c>
      <c r="I131" s="28" t="s">
        <v>508</v>
      </c>
      <c r="J131" s="29">
        <v>45807</v>
      </c>
      <c r="K131" s="28" t="s">
        <v>312</v>
      </c>
      <c r="L131" s="28" t="s">
        <v>320</v>
      </c>
      <c r="M131" s="29" t="s">
        <v>245</v>
      </c>
      <c r="N131" s="28"/>
    </row>
    <row r="132" spans="1:15" ht="30" customHeight="1">
      <c r="A132" s="28" t="s">
        <v>217</v>
      </c>
      <c r="B132" s="28" t="s">
        <v>20</v>
      </c>
      <c r="D132" s="28" t="s">
        <v>509</v>
      </c>
      <c r="G132" s="28" t="s">
        <v>355</v>
      </c>
      <c r="H132" s="28" t="s">
        <v>355</v>
      </c>
      <c r="I132" s="28" t="s">
        <v>510</v>
      </c>
      <c r="J132" s="29">
        <v>45807</v>
      </c>
      <c r="K132" s="28"/>
      <c r="L132" s="28" t="s">
        <v>320</v>
      </c>
      <c r="M132" s="29" t="s">
        <v>245</v>
      </c>
      <c r="N132" s="28"/>
    </row>
    <row r="133" spans="1:15" ht="30" customHeight="1">
      <c r="A133" s="28" t="s">
        <v>217</v>
      </c>
      <c r="B133" s="28" t="s">
        <v>20</v>
      </c>
      <c r="D133" s="28" t="s">
        <v>511</v>
      </c>
      <c r="G133" s="28" t="s">
        <v>355</v>
      </c>
      <c r="H133" s="28" t="s">
        <v>355</v>
      </c>
      <c r="I133" s="28" t="s">
        <v>512</v>
      </c>
      <c r="J133" s="29">
        <v>45807</v>
      </c>
      <c r="K133" s="28"/>
      <c r="L133" s="28" t="s">
        <v>320</v>
      </c>
      <c r="M133" s="29" t="s">
        <v>245</v>
      </c>
      <c r="N133" s="28"/>
    </row>
    <row r="134" spans="1:15" ht="30" customHeight="1">
      <c r="A134" s="28" t="s">
        <v>218</v>
      </c>
      <c r="B134" s="28" t="s">
        <v>7</v>
      </c>
      <c r="C134" s="28">
        <v>1032456546</v>
      </c>
      <c r="D134" s="28" t="s">
        <v>513</v>
      </c>
      <c r="G134" s="28" t="s">
        <v>514</v>
      </c>
      <c r="H134" s="28" t="s">
        <v>514</v>
      </c>
      <c r="I134" s="28" t="s">
        <v>515</v>
      </c>
      <c r="J134" s="29">
        <v>45807</v>
      </c>
      <c r="K134" s="28"/>
      <c r="L134" s="28" t="s">
        <v>10</v>
      </c>
      <c r="M134" s="29" t="s">
        <v>245</v>
      </c>
      <c r="N134" s="28"/>
    </row>
    <row r="135" spans="1:15" ht="30" customHeight="1">
      <c r="A135" s="28" t="s">
        <v>218</v>
      </c>
      <c r="B135" s="28" t="s">
        <v>7</v>
      </c>
      <c r="C135" s="28">
        <v>1065895553</v>
      </c>
      <c r="D135" s="28" t="s">
        <v>516</v>
      </c>
      <c r="G135" s="28" t="s">
        <v>514</v>
      </c>
      <c r="H135" s="28" t="s">
        <v>514</v>
      </c>
      <c r="I135" s="28" t="s">
        <v>515</v>
      </c>
      <c r="J135" s="29">
        <v>45807</v>
      </c>
      <c r="K135" s="28"/>
      <c r="L135" s="28" t="s">
        <v>10</v>
      </c>
      <c r="M135" s="29" t="s">
        <v>245</v>
      </c>
      <c r="N135" s="28"/>
    </row>
    <row r="136" spans="1:15" ht="30" customHeight="1">
      <c r="A136" s="28" t="s">
        <v>218</v>
      </c>
      <c r="B136" s="28" t="s">
        <v>7</v>
      </c>
      <c r="C136" s="28">
        <v>1110579334</v>
      </c>
      <c r="D136" s="28" t="s">
        <v>517</v>
      </c>
      <c r="G136" s="28" t="s">
        <v>514</v>
      </c>
      <c r="H136" s="28" t="s">
        <v>514</v>
      </c>
      <c r="I136" s="28" t="s">
        <v>515</v>
      </c>
      <c r="J136" s="29">
        <v>45807</v>
      </c>
      <c r="K136" s="28"/>
      <c r="L136" s="28" t="s">
        <v>10</v>
      </c>
      <c r="M136" s="29" t="s">
        <v>245</v>
      </c>
      <c r="N136" s="28"/>
    </row>
    <row r="137" spans="1:15" ht="30" customHeight="1">
      <c r="A137" s="28" t="s">
        <v>218</v>
      </c>
      <c r="B137" s="28" t="s">
        <v>7</v>
      </c>
      <c r="C137" s="28">
        <v>1085334644</v>
      </c>
      <c r="D137" s="28" t="s">
        <v>518</v>
      </c>
      <c r="G137" s="28" t="s">
        <v>514</v>
      </c>
      <c r="H137" s="28" t="s">
        <v>514</v>
      </c>
      <c r="I137" s="28" t="s">
        <v>515</v>
      </c>
      <c r="J137" s="29">
        <v>45807</v>
      </c>
      <c r="K137" s="28"/>
      <c r="L137" s="28" t="s">
        <v>10</v>
      </c>
      <c r="M137" s="29" t="s">
        <v>245</v>
      </c>
      <c r="N137" s="28"/>
    </row>
    <row r="138" spans="1:15" ht="30" customHeight="1">
      <c r="A138" s="28" t="s">
        <v>220</v>
      </c>
      <c r="B138" s="28" t="s">
        <v>33</v>
      </c>
      <c r="D138" s="28" t="s">
        <v>519</v>
      </c>
      <c r="G138" s="28" t="s">
        <v>520</v>
      </c>
      <c r="H138" s="28" t="s">
        <v>520</v>
      </c>
      <c r="I138" s="28" t="s">
        <v>521</v>
      </c>
      <c r="J138" s="29">
        <v>45807</v>
      </c>
      <c r="K138" s="28"/>
      <c r="L138" s="28" t="s">
        <v>8</v>
      </c>
      <c r="M138" s="29" t="s">
        <v>245</v>
      </c>
      <c r="N138" s="28"/>
      <c r="O138" s="28" t="s">
        <v>522</v>
      </c>
    </row>
    <row r="139" spans="1:15" ht="30" customHeight="1">
      <c r="A139" s="28" t="s">
        <v>220</v>
      </c>
      <c r="B139" s="28" t="s">
        <v>33</v>
      </c>
      <c r="D139" s="28" t="s">
        <v>523</v>
      </c>
      <c r="G139" s="28" t="s">
        <v>520</v>
      </c>
      <c r="H139" s="28" t="s">
        <v>520</v>
      </c>
      <c r="I139" s="28" t="s">
        <v>521</v>
      </c>
      <c r="J139" s="29">
        <v>45807</v>
      </c>
      <c r="K139" s="28"/>
      <c r="L139" s="28" t="s">
        <v>8</v>
      </c>
      <c r="M139" s="29" t="s">
        <v>245</v>
      </c>
      <c r="N139" s="28"/>
      <c r="O139" s="28" t="s">
        <v>522</v>
      </c>
    </row>
    <row r="140" spans="1:15" ht="30" customHeight="1">
      <c r="A140" s="28" t="s">
        <v>218</v>
      </c>
      <c r="B140" s="28" t="s">
        <v>7</v>
      </c>
      <c r="C140" s="28">
        <v>1003591722</v>
      </c>
      <c r="D140" s="28" t="s">
        <v>524</v>
      </c>
      <c r="I140" s="28" t="s">
        <v>525</v>
      </c>
      <c r="J140" s="29">
        <v>45807</v>
      </c>
      <c r="K140" s="28" t="s">
        <v>312</v>
      </c>
      <c r="L140" s="28"/>
      <c r="M140" s="29" t="s">
        <v>245</v>
      </c>
      <c r="N140" s="28"/>
    </row>
    <row r="141" spans="1:15" ht="30" customHeight="1">
      <c r="A141" s="28" t="s">
        <v>218</v>
      </c>
      <c r="B141" s="28" t="s">
        <v>7</v>
      </c>
      <c r="C141" s="28">
        <v>1003395591</v>
      </c>
      <c r="D141" s="28" t="s">
        <v>526</v>
      </c>
      <c r="I141" s="28" t="s">
        <v>525</v>
      </c>
      <c r="J141" s="29">
        <v>45807</v>
      </c>
      <c r="K141" s="28" t="s">
        <v>312</v>
      </c>
      <c r="L141" s="28"/>
      <c r="M141" s="29" t="s">
        <v>245</v>
      </c>
      <c r="N141" s="28"/>
    </row>
    <row r="142" spans="1:15" ht="30" customHeight="1">
      <c r="A142" s="28" t="s">
        <v>220</v>
      </c>
      <c r="B142" s="28" t="s">
        <v>39</v>
      </c>
      <c r="C142" s="34">
        <v>1149454640</v>
      </c>
      <c r="D142" s="28" t="s">
        <v>527</v>
      </c>
      <c r="I142" s="28" t="s">
        <v>528</v>
      </c>
      <c r="J142" s="29">
        <v>45808</v>
      </c>
      <c r="K142" s="29" t="s">
        <v>312</v>
      </c>
      <c r="L142" s="29" t="s">
        <v>16</v>
      </c>
      <c r="M142" s="29" t="s">
        <v>245</v>
      </c>
      <c r="N142" s="28"/>
      <c r="O142" s="28" t="s">
        <v>529</v>
      </c>
    </row>
    <row r="143" spans="1:15" ht="30" customHeight="1">
      <c r="A143" s="28" t="s">
        <v>220</v>
      </c>
      <c r="B143" s="28" t="s">
        <v>39</v>
      </c>
      <c r="C143" s="34">
        <v>1110531811</v>
      </c>
      <c r="D143" s="28" t="s">
        <v>530</v>
      </c>
      <c r="I143" s="28" t="s">
        <v>528</v>
      </c>
      <c r="J143" s="29">
        <v>45808</v>
      </c>
      <c r="K143" s="29" t="s">
        <v>312</v>
      </c>
      <c r="L143" s="29" t="s">
        <v>16</v>
      </c>
      <c r="M143" s="29" t="s">
        <v>245</v>
      </c>
      <c r="N143" s="28"/>
      <c r="O143" s="30" t="s">
        <v>529</v>
      </c>
    </row>
    <row r="144" spans="1:15" ht="30" customHeight="1">
      <c r="A144" s="28" t="s">
        <v>217</v>
      </c>
      <c r="B144" s="28" t="s">
        <v>32</v>
      </c>
      <c r="D144" s="28" t="s">
        <v>531</v>
      </c>
      <c r="G144" s="28" t="s">
        <v>532</v>
      </c>
      <c r="H144" s="28" t="s">
        <v>532</v>
      </c>
      <c r="I144" s="28" t="s">
        <v>533</v>
      </c>
      <c r="J144" s="29">
        <v>45811</v>
      </c>
      <c r="L144" s="29" t="s">
        <v>320</v>
      </c>
      <c r="M144" s="29" t="s">
        <v>245</v>
      </c>
      <c r="O144" s="28" t="s">
        <v>534</v>
      </c>
    </row>
    <row r="145" spans="1:15" ht="30" customHeight="1">
      <c r="A145" s="28" t="s">
        <v>217</v>
      </c>
      <c r="B145" s="28" t="s">
        <v>20</v>
      </c>
      <c r="D145" s="28" t="s">
        <v>535</v>
      </c>
      <c r="G145" s="28" t="s">
        <v>536</v>
      </c>
      <c r="H145" s="42" t="s">
        <v>536</v>
      </c>
      <c r="I145" s="28" t="s">
        <v>537</v>
      </c>
      <c r="J145" s="29">
        <v>45811</v>
      </c>
      <c r="L145" s="29" t="s">
        <v>320</v>
      </c>
      <c r="M145" s="29" t="s">
        <v>245</v>
      </c>
      <c r="O145" s="28" t="s">
        <v>538</v>
      </c>
    </row>
    <row r="146" spans="1:15" ht="30" customHeight="1">
      <c r="A146" s="28" t="s">
        <v>219</v>
      </c>
      <c r="D146" s="28" t="s">
        <v>539</v>
      </c>
      <c r="M146" s="29" t="s">
        <v>245</v>
      </c>
      <c r="O146" s="28" t="s">
        <v>540</v>
      </c>
    </row>
    <row r="147" spans="1:15" ht="30" customHeight="1">
      <c r="A147" s="28" t="s">
        <v>218</v>
      </c>
      <c r="B147" s="28" t="s">
        <v>7</v>
      </c>
      <c r="C147" s="28">
        <v>91527354</v>
      </c>
      <c r="D147" s="28" t="s">
        <v>541</v>
      </c>
      <c r="G147" s="28" t="s">
        <v>542</v>
      </c>
      <c r="H147" s="28" t="s">
        <v>542</v>
      </c>
      <c r="I147" s="28" t="s">
        <v>543</v>
      </c>
      <c r="J147" s="29">
        <v>45811</v>
      </c>
      <c r="L147" s="29" t="s">
        <v>10</v>
      </c>
    </row>
    <row r="148" spans="1:15" ht="30" customHeight="1">
      <c r="A148" s="28" t="s">
        <v>218</v>
      </c>
      <c r="B148" s="28" t="s">
        <v>7</v>
      </c>
      <c r="C148" s="28">
        <v>1099207391</v>
      </c>
      <c r="D148" s="28" t="s">
        <v>544</v>
      </c>
      <c r="G148" s="28" t="s">
        <v>542</v>
      </c>
      <c r="H148" s="28" t="s">
        <v>542</v>
      </c>
      <c r="I148" s="28" t="s">
        <v>543</v>
      </c>
      <c r="J148" s="29">
        <v>45811</v>
      </c>
      <c r="L148" s="29" t="s">
        <v>10</v>
      </c>
    </row>
    <row r="149" spans="1:15" ht="30" customHeight="1">
      <c r="A149" s="28" t="s">
        <v>217</v>
      </c>
      <c r="B149" s="28" t="s">
        <v>20</v>
      </c>
      <c r="D149" s="28" t="s">
        <v>545</v>
      </c>
      <c r="I149" s="28" t="s">
        <v>546</v>
      </c>
      <c r="J149" s="29">
        <v>45811</v>
      </c>
      <c r="K149" s="28"/>
      <c r="L149" s="28" t="s">
        <v>320</v>
      </c>
      <c r="M149" s="29" t="s">
        <v>245</v>
      </c>
      <c r="N149" s="28"/>
    </row>
    <row r="150" spans="1:15" ht="30" customHeight="1">
      <c r="A150" s="28" t="s">
        <v>217</v>
      </c>
      <c r="B150" s="28" t="s">
        <v>20</v>
      </c>
      <c r="D150" s="28" t="s">
        <v>547</v>
      </c>
      <c r="I150" s="28" t="s">
        <v>546</v>
      </c>
      <c r="J150" s="29">
        <v>45811</v>
      </c>
      <c r="K150" s="28"/>
      <c r="L150" s="28" t="s">
        <v>320</v>
      </c>
      <c r="M150" s="29" t="s">
        <v>245</v>
      </c>
      <c r="N150" s="28"/>
    </row>
    <row r="151" spans="1:15" ht="30" customHeight="1">
      <c r="A151" s="28" t="s">
        <v>217</v>
      </c>
      <c r="B151" s="28" t="s">
        <v>38</v>
      </c>
      <c r="D151" s="28" t="s">
        <v>548</v>
      </c>
      <c r="I151" s="28" t="s">
        <v>549</v>
      </c>
      <c r="J151" s="28" t="s">
        <v>550</v>
      </c>
      <c r="K151" s="28"/>
      <c r="L151" s="28" t="s">
        <v>320</v>
      </c>
      <c r="M151" s="29" t="s">
        <v>245</v>
      </c>
      <c r="N151" s="28"/>
    </row>
    <row r="152" spans="1:15" ht="30" customHeight="1">
      <c r="A152" s="28" t="s">
        <v>217</v>
      </c>
      <c r="B152" s="28" t="s">
        <v>31</v>
      </c>
      <c r="D152" s="28" t="s">
        <v>551</v>
      </c>
      <c r="E152" s="28" t="s">
        <v>6</v>
      </c>
      <c r="I152" s="28" t="s">
        <v>552</v>
      </c>
      <c r="J152" s="29">
        <v>45811</v>
      </c>
      <c r="L152" s="29" t="s">
        <v>320</v>
      </c>
      <c r="M152" s="29" t="s">
        <v>245</v>
      </c>
    </row>
    <row r="153" spans="1:15" ht="30" customHeight="1">
      <c r="A153" s="28" t="s">
        <v>217</v>
      </c>
      <c r="B153" s="28" t="s">
        <v>31</v>
      </c>
      <c r="D153" s="28" t="s">
        <v>553</v>
      </c>
      <c r="G153" s="28" t="s">
        <v>554</v>
      </c>
      <c r="H153" s="38" t="s">
        <v>554</v>
      </c>
      <c r="I153" s="28" t="s">
        <v>555</v>
      </c>
      <c r="J153" s="29">
        <v>45811</v>
      </c>
      <c r="L153" s="29" t="s">
        <v>320</v>
      </c>
      <c r="M153" s="29" t="s">
        <v>245</v>
      </c>
    </row>
    <row r="154" spans="1:15" ht="30" customHeight="1">
      <c r="A154" s="28" t="s">
        <v>217</v>
      </c>
      <c r="B154" s="28" t="s">
        <v>38</v>
      </c>
      <c r="C154" s="28">
        <v>59123167</v>
      </c>
      <c r="D154" s="28" t="s">
        <v>556</v>
      </c>
      <c r="G154" s="28" t="s">
        <v>557</v>
      </c>
      <c r="H154" s="28" t="s">
        <v>557</v>
      </c>
      <c r="I154" s="28" t="s">
        <v>558</v>
      </c>
      <c r="J154" s="29">
        <v>45811</v>
      </c>
      <c r="L154" s="29" t="s">
        <v>10</v>
      </c>
      <c r="M154" s="29" t="s">
        <v>245</v>
      </c>
    </row>
    <row r="155" spans="1:15" ht="30" customHeight="1">
      <c r="A155" s="28" t="s">
        <v>217</v>
      </c>
      <c r="B155" s="28" t="s">
        <v>36</v>
      </c>
      <c r="C155" s="28">
        <v>74184594</v>
      </c>
      <c r="D155" s="28" t="s">
        <v>559</v>
      </c>
      <c r="E155" s="28" t="s">
        <v>8</v>
      </c>
      <c r="G155" s="28" t="s">
        <v>554</v>
      </c>
      <c r="H155" s="28" t="s">
        <v>554</v>
      </c>
      <c r="I155" s="28" t="s">
        <v>560</v>
      </c>
      <c r="J155" s="29">
        <v>45811</v>
      </c>
      <c r="K155" s="29" t="s">
        <v>312</v>
      </c>
      <c r="L155" s="29" t="s">
        <v>10</v>
      </c>
      <c r="M155" s="29" t="s">
        <v>245</v>
      </c>
    </row>
    <row r="156" spans="1:15" ht="30" customHeight="1">
      <c r="A156" s="28" t="s">
        <v>217</v>
      </c>
      <c r="B156" s="28" t="s">
        <v>36</v>
      </c>
      <c r="C156" s="28">
        <v>1075281361</v>
      </c>
      <c r="D156" s="28" t="s">
        <v>561</v>
      </c>
      <c r="E156" s="28" t="s">
        <v>8</v>
      </c>
      <c r="G156" s="28" t="s">
        <v>554</v>
      </c>
      <c r="H156" s="28" t="s">
        <v>554</v>
      </c>
      <c r="I156" s="28" t="s">
        <v>560</v>
      </c>
      <c r="J156" s="29">
        <v>45811</v>
      </c>
      <c r="K156" s="29" t="s">
        <v>312</v>
      </c>
      <c r="L156" s="29" t="s">
        <v>10</v>
      </c>
      <c r="M156" s="29" t="s">
        <v>245</v>
      </c>
    </row>
    <row r="157" spans="1:15" ht="30" customHeight="1">
      <c r="A157" s="28" t="s">
        <v>218</v>
      </c>
      <c r="B157" s="28" t="s">
        <v>7</v>
      </c>
      <c r="C157" s="28">
        <v>1015410513</v>
      </c>
      <c r="D157" s="28" t="s">
        <v>562</v>
      </c>
      <c r="I157" s="28" t="s">
        <v>563</v>
      </c>
      <c r="J157" s="29">
        <v>45811</v>
      </c>
      <c r="K157" s="29" t="s">
        <v>312</v>
      </c>
      <c r="L157" s="29" t="s">
        <v>320</v>
      </c>
      <c r="M157" s="29" t="s">
        <v>245</v>
      </c>
    </row>
    <row r="158" spans="1:15" ht="30" customHeight="1">
      <c r="A158" s="28" t="s">
        <v>218</v>
      </c>
      <c r="B158" s="28" t="s">
        <v>7</v>
      </c>
      <c r="C158" s="28">
        <v>1152689538</v>
      </c>
      <c r="D158" s="28" t="s">
        <v>564</v>
      </c>
      <c r="I158" s="28" t="s">
        <v>563</v>
      </c>
      <c r="J158" s="29">
        <v>45811</v>
      </c>
      <c r="K158" s="29" t="s">
        <v>312</v>
      </c>
      <c r="M158" s="29" t="s">
        <v>245</v>
      </c>
      <c r="O158" s="30"/>
    </row>
    <row r="159" spans="1:15" ht="30" customHeight="1">
      <c r="A159" s="28" t="s">
        <v>218</v>
      </c>
      <c r="B159" s="28" t="s">
        <v>7</v>
      </c>
      <c r="C159" s="28">
        <v>1098738165</v>
      </c>
      <c r="D159" s="28" t="s">
        <v>565</v>
      </c>
      <c r="I159" s="28" t="s">
        <v>563</v>
      </c>
      <c r="J159" s="29">
        <v>45811</v>
      </c>
      <c r="K159" s="29" t="s">
        <v>312</v>
      </c>
      <c r="M159" s="29" t="s">
        <v>245</v>
      </c>
      <c r="O159" s="30"/>
    </row>
    <row r="160" spans="1:15" ht="30" customHeight="1">
      <c r="A160" s="28" t="s">
        <v>220</v>
      </c>
      <c r="B160" s="28" t="s">
        <v>19</v>
      </c>
      <c r="C160" s="35">
        <v>1130621528</v>
      </c>
      <c r="D160" s="28" t="s">
        <v>566</v>
      </c>
      <c r="E160" s="28" t="s">
        <v>8</v>
      </c>
      <c r="G160" s="28" t="s">
        <v>567</v>
      </c>
      <c r="H160" s="28" t="s">
        <v>567</v>
      </c>
      <c r="I160" s="28" t="s">
        <v>568</v>
      </c>
      <c r="J160" s="29">
        <v>45811</v>
      </c>
      <c r="K160" s="29" t="s">
        <v>312</v>
      </c>
      <c r="L160" s="29" t="s">
        <v>10</v>
      </c>
      <c r="M160" s="29" t="s">
        <v>245</v>
      </c>
    </row>
    <row r="161" spans="1:15" ht="30" customHeight="1">
      <c r="A161" s="28" t="s">
        <v>220</v>
      </c>
      <c r="B161" s="28" t="s">
        <v>19</v>
      </c>
      <c r="C161" s="35">
        <v>1061808902</v>
      </c>
      <c r="D161" s="28" t="s">
        <v>569</v>
      </c>
      <c r="E161" s="28" t="s">
        <v>12</v>
      </c>
      <c r="F161" s="28" t="s">
        <v>214</v>
      </c>
      <c r="G161" s="28" t="s">
        <v>428</v>
      </c>
      <c r="H161" s="28" t="s">
        <v>428</v>
      </c>
      <c r="I161" s="28" t="s">
        <v>570</v>
      </c>
      <c r="J161" s="29">
        <v>45812</v>
      </c>
      <c r="L161" s="29" t="s">
        <v>10</v>
      </c>
      <c r="M161" s="29" t="s">
        <v>245</v>
      </c>
    </row>
    <row r="162" spans="1:15" ht="30" customHeight="1">
      <c r="A162" s="28" t="s">
        <v>220</v>
      </c>
      <c r="B162" s="28" t="s">
        <v>13</v>
      </c>
      <c r="C162" s="28">
        <v>1088038995</v>
      </c>
      <c r="D162" s="28" t="s">
        <v>571</v>
      </c>
      <c r="G162" s="28" t="s">
        <v>572</v>
      </c>
      <c r="H162" s="28" t="s">
        <v>572</v>
      </c>
      <c r="I162" s="28" t="s">
        <v>573</v>
      </c>
      <c r="J162" s="29">
        <v>45812</v>
      </c>
      <c r="L162" s="29" t="s">
        <v>10</v>
      </c>
      <c r="M162" s="29" t="s">
        <v>245</v>
      </c>
    </row>
    <row r="163" spans="1:15" ht="30" customHeight="1">
      <c r="A163" s="28" t="s">
        <v>217</v>
      </c>
      <c r="B163" s="28" t="s">
        <v>24</v>
      </c>
      <c r="C163" s="28">
        <v>1053779106</v>
      </c>
      <c r="D163" s="28" t="s">
        <v>574</v>
      </c>
      <c r="E163" s="28" t="s">
        <v>16</v>
      </c>
      <c r="F163" s="28" t="s">
        <v>214</v>
      </c>
      <c r="G163" s="28" t="s">
        <v>575</v>
      </c>
      <c r="H163" s="28" t="s">
        <v>575</v>
      </c>
      <c r="J163" s="29">
        <v>45812</v>
      </c>
      <c r="L163" s="29" t="s">
        <v>16</v>
      </c>
      <c r="M163" s="29" t="s">
        <v>245</v>
      </c>
    </row>
    <row r="164" spans="1:15" ht="30" customHeight="1">
      <c r="A164" s="28" t="s">
        <v>217</v>
      </c>
      <c r="B164" s="28" t="s">
        <v>24</v>
      </c>
      <c r="D164" s="28" t="s">
        <v>576</v>
      </c>
      <c r="E164" s="28" t="s">
        <v>16</v>
      </c>
      <c r="F164" s="28" t="s">
        <v>214</v>
      </c>
      <c r="G164" s="28" t="s">
        <v>575</v>
      </c>
      <c r="H164" s="28" t="s">
        <v>575</v>
      </c>
      <c r="J164" s="29">
        <v>45812</v>
      </c>
      <c r="L164" s="29" t="s">
        <v>16</v>
      </c>
      <c r="M164" s="29" t="s">
        <v>245</v>
      </c>
    </row>
    <row r="165" spans="1:15" ht="30" customHeight="1">
      <c r="A165" s="28" t="s">
        <v>218</v>
      </c>
      <c r="B165" s="28" t="s">
        <v>7</v>
      </c>
      <c r="C165" s="28">
        <v>91527354</v>
      </c>
      <c r="D165" s="28" t="s">
        <v>577</v>
      </c>
      <c r="G165" s="28" t="s">
        <v>542</v>
      </c>
      <c r="H165" s="28" t="s">
        <v>542</v>
      </c>
      <c r="I165" s="28" t="s">
        <v>543</v>
      </c>
      <c r="J165" s="29">
        <v>45812</v>
      </c>
      <c r="L165" s="29" t="s">
        <v>10</v>
      </c>
      <c r="M165" s="29" t="s">
        <v>245</v>
      </c>
    </row>
    <row r="166" spans="1:15" ht="30" customHeight="1">
      <c r="A166" s="28" t="s">
        <v>218</v>
      </c>
      <c r="B166" s="28" t="s">
        <v>7</v>
      </c>
      <c r="C166" s="28">
        <v>1099207391</v>
      </c>
      <c r="D166" s="28" t="s">
        <v>544</v>
      </c>
      <c r="G166" s="28" t="s">
        <v>542</v>
      </c>
      <c r="H166" s="28" t="s">
        <v>542</v>
      </c>
      <c r="I166" s="28" t="s">
        <v>543</v>
      </c>
      <c r="J166" s="29">
        <v>45812</v>
      </c>
      <c r="L166" s="29" t="s">
        <v>10</v>
      </c>
      <c r="M166" s="29" t="s">
        <v>245</v>
      </c>
    </row>
    <row r="167" spans="1:15" ht="30" customHeight="1">
      <c r="A167" s="28" t="s">
        <v>218</v>
      </c>
      <c r="B167" s="28" t="s">
        <v>40</v>
      </c>
      <c r="D167" s="28" t="s">
        <v>578</v>
      </c>
      <c r="G167" s="28" t="s">
        <v>579</v>
      </c>
      <c r="H167" s="28" t="s">
        <v>579</v>
      </c>
      <c r="I167" s="28" t="s">
        <v>580</v>
      </c>
      <c r="J167" s="29">
        <v>45812</v>
      </c>
      <c r="L167" s="29" t="s">
        <v>16</v>
      </c>
      <c r="M167" s="29" t="s">
        <v>245</v>
      </c>
    </row>
    <row r="168" spans="1:15" ht="30" customHeight="1">
      <c r="A168" s="28" t="s">
        <v>220</v>
      </c>
      <c r="B168" s="28" t="s">
        <v>22</v>
      </c>
      <c r="D168" s="28" t="s">
        <v>581</v>
      </c>
      <c r="G168" s="28" t="s">
        <v>582</v>
      </c>
      <c r="H168" s="28" t="s">
        <v>582</v>
      </c>
      <c r="I168" s="28" t="s">
        <v>583</v>
      </c>
      <c r="J168" s="29">
        <v>45812</v>
      </c>
      <c r="L168" s="29" t="s">
        <v>10</v>
      </c>
      <c r="M168" s="29" t="s">
        <v>245</v>
      </c>
    </row>
    <row r="169" spans="1:15" ht="30" customHeight="1">
      <c r="A169" s="28" t="s">
        <v>220</v>
      </c>
      <c r="B169" s="28" t="s">
        <v>22</v>
      </c>
      <c r="D169" s="28" t="s">
        <v>584</v>
      </c>
      <c r="G169" s="28" t="s">
        <v>582</v>
      </c>
      <c r="H169" s="28" t="s">
        <v>582</v>
      </c>
      <c r="I169" s="28" t="s">
        <v>583</v>
      </c>
      <c r="J169" s="29">
        <v>45812</v>
      </c>
      <c r="L169" s="29" t="s">
        <v>10</v>
      </c>
      <c r="M169" s="29" t="s">
        <v>245</v>
      </c>
    </row>
    <row r="170" spans="1:15" ht="30" customHeight="1">
      <c r="A170" s="28" t="s">
        <v>217</v>
      </c>
      <c r="B170" s="28" t="s">
        <v>31</v>
      </c>
      <c r="D170" s="28" t="s">
        <v>585</v>
      </c>
      <c r="I170" s="28" t="s">
        <v>586</v>
      </c>
      <c r="J170" s="29">
        <v>45812</v>
      </c>
      <c r="L170" s="29" t="s">
        <v>320</v>
      </c>
      <c r="M170" s="29" t="s">
        <v>245</v>
      </c>
    </row>
    <row r="171" spans="1:15" ht="30" customHeight="1">
      <c r="A171" s="28" t="s">
        <v>220</v>
      </c>
      <c r="B171" s="28" t="s">
        <v>19</v>
      </c>
      <c r="C171" s="28">
        <v>75104174</v>
      </c>
      <c r="D171" s="38" t="s">
        <v>587</v>
      </c>
      <c r="E171" s="28" t="s">
        <v>12</v>
      </c>
      <c r="F171" s="28" t="s">
        <v>225</v>
      </c>
      <c r="G171" s="28" t="s">
        <v>428</v>
      </c>
      <c r="H171" s="28" t="s">
        <v>428</v>
      </c>
      <c r="I171" s="28" t="s">
        <v>429</v>
      </c>
      <c r="J171" s="29">
        <v>45812</v>
      </c>
      <c r="L171" s="29" t="s">
        <v>10</v>
      </c>
      <c r="M171" s="29" t="s">
        <v>245</v>
      </c>
      <c r="O171" s="28" t="s">
        <v>588</v>
      </c>
    </row>
    <row r="172" spans="1:15" ht="30" customHeight="1">
      <c r="A172" s="28" t="s">
        <v>217</v>
      </c>
      <c r="B172" s="28" t="s">
        <v>31</v>
      </c>
      <c r="D172" s="28" t="s">
        <v>589</v>
      </c>
      <c r="I172" s="28" t="s">
        <v>590</v>
      </c>
      <c r="J172" s="29">
        <v>45812</v>
      </c>
      <c r="L172" s="29" t="s">
        <v>320</v>
      </c>
      <c r="M172" s="29" t="s">
        <v>245</v>
      </c>
      <c r="O172" s="28" t="s">
        <v>591</v>
      </c>
    </row>
    <row r="173" spans="1:15" ht="30" customHeight="1">
      <c r="A173" s="28" t="s">
        <v>220</v>
      </c>
      <c r="B173" s="28" t="s">
        <v>22</v>
      </c>
      <c r="D173" s="28" t="s">
        <v>592</v>
      </c>
      <c r="G173" s="28" t="s">
        <v>593</v>
      </c>
      <c r="H173" s="28" t="s">
        <v>593</v>
      </c>
      <c r="I173" s="28" t="s">
        <v>594</v>
      </c>
      <c r="J173" s="29">
        <v>45812</v>
      </c>
      <c r="L173" s="29" t="s">
        <v>10</v>
      </c>
      <c r="M173" s="29" t="s">
        <v>245</v>
      </c>
    </row>
    <row r="174" spans="1:15" ht="30" customHeight="1">
      <c r="A174" s="28" t="s">
        <v>220</v>
      </c>
      <c r="B174" s="28" t="s">
        <v>22</v>
      </c>
      <c r="D174" s="28" t="s">
        <v>595</v>
      </c>
      <c r="G174" s="28" t="s">
        <v>593</v>
      </c>
      <c r="H174" s="28" t="s">
        <v>593</v>
      </c>
      <c r="I174" s="28" t="s">
        <v>594</v>
      </c>
      <c r="J174" s="29">
        <v>45812</v>
      </c>
      <c r="L174" s="29" t="s">
        <v>10</v>
      </c>
      <c r="M174" s="29" t="s">
        <v>245</v>
      </c>
    </row>
    <row r="175" spans="1:15" ht="30" customHeight="1">
      <c r="A175" s="28" t="s">
        <v>217</v>
      </c>
      <c r="B175" s="28" t="s">
        <v>38</v>
      </c>
      <c r="D175" s="28" t="s">
        <v>596</v>
      </c>
      <c r="G175" s="28" t="s">
        <v>597</v>
      </c>
      <c r="H175" s="28" t="s">
        <v>597</v>
      </c>
      <c r="I175" s="28" t="s">
        <v>598</v>
      </c>
      <c r="L175" s="29" t="s">
        <v>320</v>
      </c>
      <c r="M175" s="29" t="s">
        <v>245</v>
      </c>
    </row>
    <row r="176" spans="1:15" ht="30" customHeight="1">
      <c r="A176" s="28" t="s">
        <v>217</v>
      </c>
      <c r="B176" s="28" t="s">
        <v>36</v>
      </c>
      <c r="C176" s="28">
        <v>1023903180</v>
      </c>
      <c r="D176" s="28" t="s">
        <v>599</v>
      </c>
      <c r="E176" s="28" t="s">
        <v>8</v>
      </c>
      <c r="G176" s="28" t="s">
        <v>600</v>
      </c>
      <c r="H176" s="28" t="s">
        <v>600</v>
      </c>
      <c r="I176" s="28" t="s">
        <v>601</v>
      </c>
      <c r="J176" s="29">
        <v>45812</v>
      </c>
      <c r="L176" s="29" t="s">
        <v>10</v>
      </c>
      <c r="M176" s="29" t="s">
        <v>245</v>
      </c>
    </row>
    <row r="177" spans="1:15" ht="30" customHeight="1">
      <c r="A177" s="28" t="s">
        <v>217</v>
      </c>
      <c r="B177" s="28" t="s">
        <v>36</v>
      </c>
      <c r="C177" s="28">
        <v>1039468353</v>
      </c>
      <c r="D177" s="28" t="s">
        <v>602</v>
      </c>
      <c r="E177" s="28" t="s">
        <v>8</v>
      </c>
      <c r="G177" s="28" t="s">
        <v>600</v>
      </c>
      <c r="H177" s="28" t="s">
        <v>600</v>
      </c>
      <c r="I177" s="28" t="s">
        <v>601</v>
      </c>
      <c r="J177" s="29">
        <v>45812</v>
      </c>
      <c r="L177" s="29" t="s">
        <v>10</v>
      </c>
      <c r="M177" s="29" t="s">
        <v>245</v>
      </c>
    </row>
    <row r="178" spans="1:15" ht="30" customHeight="1">
      <c r="A178" s="28" t="s">
        <v>217</v>
      </c>
      <c r="B178" s="28" t="s">
        <v>38</v>
      </c>
      <c r="D178" s="28" t="s">
        <v>556</v>
      </c>
      <c r="G178" s="28" t="s">
        <v>603</v>
      </c>
      <c r="H178" s="28" t="s">
        <v>603</v>
      </c>
      <c r="I178" s="28" t="s">
        <v>604</v>
      </c>
      <c r="J178" s="29">
        <v>45812</v>
      </c>
      <c r="L178" s="29" t="s">
        <v>320</v>
      </c>
      <c r="M178" s="29" t="s">
        <v>245</v>
      </c>
    </row>
    <row r="179" spans="1:15" ht="30" customHeight="1">
      <c r="A179" s="28" t="s">
        <v>220</v>
      </c>
      <c r="B179" s="28" t="s">
        <v>22</v>
      </c>
      <c r="C179" s="28">
        <v>1038131819</v>
      </c>
      <c r="D179" s="28" t="s">
        <v>605</v>
      </c>
      <c r="G179" s="28" t="s">
        <v>606</v>
      </c>
      <c r="H179" s="28" t="s">
        <v>606</v>
      </c>
      <c r="I179" s="28" t="s">
        <v>607</v>
      </c>
      <c r="J179" s="29">
        <v>45812</v>
      </c>
      <c r="K179" s="28"/>
      <c r="L179" s="28" t="s">
        <v>10</v>
      </c>
      <c r="M179" s="29" t="s">
        <v>245</v>
      </c>
      <c r="N179" s="28"/>
    </row>
    <row r="180" spans="1:15" ht="30" customHeight="1">
      <c r="A180" s="28" t="s">
        <v>220</v>
      </c>
      <c r="B180" s="28" t="s">
        <v>22</v>
      </c>
      <c r="C180" s="28">
        <v>1059810800</v>
      </c>
      <c r="D180" s="28" t="s">
        <v>608</v>
      </c>
      <c r="G180" s="28" t="s">
        <v>606</v>
      </c>
      <c r="H180" s="28" t="s">
        <v>606</v>
      </c>
      <c r="I180" s="28" t="s">
        <v>607</v>
      </c>
      <c r="J180" s="29">
        <v>45812</v>
      </c>
      <c r="K180" s="28"/>
      <c r="L180" s="28" t="s">
        <v>10</v>
      </c>
      <c r="M180" s="29" t="s">
        <v>245</v>
      </c>
      <c r="N180" s="28"/>
    </row>
    <row r="181" spans="1:15" ht="30" customHeight="1">
      <c r="A181" s="28" t="s">
        <v>220</v>
      </c>
      <c r="B181" s="28" t="s">
        <v>39</v>
      </c>
      <c r="D181" s="28" t="s">
        <v>609</v>
      </c>
      <c r="J181" s="29">
        <v>45812</v>
      </c>
      <c r="L181" s="29" t="s">
        <v>320</v>
      </c>
      <c r="M181" s="29" t="s">
        <v>245</v>
      </c>
    </row>
    <row r="182" spans="1:15" ht="30" customHeight="1">
      <c r="A182" s="28" t="s">
        <v>218</v>
      </c>
      <c r="B182" s="28" t="s">
        <v>7</v>
      </c>
      <c r="D182" s="28" t="s">
        <v>443</v>
      </c>
      <c r="E182" s="28" t="s">
        <v>8</v>
      </c>
      <c r="G182" s="28" t="s">
        <v>610</v>
      </c>
      <c r="H182" s="28" t="s">
        <v>610</v>
      </c>
      <c r="I182" s="28" t="s">
        <v>611</v>
      </c>
      <c r="J182" s="29">
        <v>45812</v>
      </c>
      <c r="L182" s="29" t="s">
        <v>320</v>
      </c>
      <c r="M182" s="29" t="s">
        <v>245</v>
      </c>
    </row>
    <row r="183" spans="1:15" ht="30" customHeight="1">
      <c r="A183" s="28" t="s">
        <v>218</v>
      </c>
      <c r="B183" s="28" t="s">
        <v>7</v>
      </c>
      <c r="D183" s="28" t="s">
        <v>446</v>
      </c>
      <c r="E183" s="28" t="s">
        <v>8</v>
      </c>
      <c r="G183" s="28" t="s">
        <v>610</v>
      </c>
      <c r="H183" s="28" t="s">
        <v>610</v>
      </c>
      <c r="I183" s="28" t="s">
        <v>611</v>
      </c>
      <c r="J183" s="29">
        <v>45812</v>
      </c>
      <c r="L183" s="29" t="s">
        <v>320</v>
      </c>
      <c r="M183" s="29" t="s">
        <v>245</v>
      </c>
    </row>
    <row r="184" spans="1:15" ht="30" customHeight="1">
      <c r="A184" s="28" t="s">
        <v>218</v>
      </c>
      <c r="B184" s="28" t="s">
        <v>41</v>
      </c>
      <c r="D184" s="28" t="s">
        <v>612</v>
      </c>
      <c r="E184" s="28" t="s">
        <v>8</v>
      </c>
      <c r="I184" s="28" t="s">
        <v>613</v>
      </c>
      <c r="J184" s="29">
        <v>45812</v>
      </c>
      <c r="L184" s="29" t="s">
        <v>320</v>
      </c>
      <c r="M184" s="29" t="s">
        <v>245</v>
      </c>
      <c r="O184" s="28" t="s">
        <v>614</v>
      </c>
    </row>
    <row r="185" spans="1:15" ht="30" customHeight="1">
      <c r="A185" s="28" t="s">
        <v>220</v>
      </c>
      <c r="B185" s="28" t="s">
        <v>13</v>
      </c>
      <c r="C185" s="28">
        <v>98578441</v>
      </c>
      <c r="D185" s="28" t="s">
        <v>615</v>
      </c>
      <c r="G185" s="28" t="s">
        <v>402</v>
      </c>
      <c r="H185" s="28" t="s">
        <v>402</v>
      </c>
      <c r="I185" s="28" t="s">
        <v>616</v>
      </c>
      <c r="J185" s="29">
        <v>45812</v>
      </c>
      <c r="L185" s="29" t="s">
        <v>10</v>
      </c>
      <c r="M185" s="29" t="s">
        <v>245</v>
      </c>
    </row>
    <row r="186" spans="1:15" ht="30" customHeight="1">
      <c r="A186" s="28" t="s">
        <v>217</v>
      </c>
      <c r="B186" s="28" t="s">
        <v>38</v>
      </c>
      <c r="D186" s="28" t="s">
        <v>617</v>
      </c>
      <c r="G186" s="28" t="s">
        <v>618</v>
      </c>
      <c r="H186" s="28" t="s">
        <v>618</v>
      </c>
      <c r="I186" s="28" t="s">
        <v>619</v>
      </c>
      <c r="J186" s="29">
        <v>45812</v>
      </c>
      <c r="L186" s="29" t="s">
        <v>320</v>
      </c>
      <c r="M186" s="29" t="s">
        <v>245</v>
      </c>
    </row>
    <row r="187" spans="1:15" ht="30" customHeight="1">
      <c r="A187" s="28" t="s">
        <v>217</v>
      </c>
      <c r="B187" s="28" t="s">
        <v>24</v>
      </c>
      <c r="D187" s="28" t="s">
        <v>620</v>
      </c>
      <c r="G187" s="28" t="s">
        <v>621</v>
      </c>
      <c r="H187" s="28" t="s">
        <v>621</v>
      </c>
      <c r="I187" s="28" t="s">
        <v>622</v>
      </c>
      <c r="J187" s="29">
        <v>45812</v>
      </c>
      <c r="L187" s="29" t="s">
        <v>320</v>
      </c>
      <c r="M187" s="29" t="s">
        <v>245</v>
      </c>
    </row>
    <row r="188" spans="1:15" ht="30" customHeight="1">
      <c r="A188" s="28" t="s">
        <v>217</v>
      </c>
      <c r="B188" s="28" t="s">
        <v>24</v>
      </c>
      <c r="D188" s="28" t="s">
        <v>623</v>
      </c>
      <c r="G188" s="28" t="s">
        <v>621</v>
      </c>
      <c r="H188" s="28" t="s">
        <v>621</v>
      </c>
      <c r="I188" s="28" t="s">
        <v>622</v>
      </c>
      <c r="J188" s="29">
        <v>45812</v>
      </c>
      <c r="L188" s="29" t="s">
        <v>320</v>
      </c>
      <c r="O188" s="28" t="s">
        <v>624</v>
      </c>
    </row>
    <row r="189" spans="1:15" ht="30" customHeight="1">
      <c r="A189" s="28" t="s">
        <v>218</v>
      </c>
      <c r="B189" s="28" t="s">
        <v>7</v>
      </c>
      <c r="C189" s="28">
        <v>1130682022</v>
      </c>
      <c r="D189" s="28" t="s">
        <v>625</v>
      </c>
      <c r="I189" s="28" t="s">
        <v>626</v>
      </c>
      <c r="J189" s="29">
        <v>45812</v>
      </c>
      <c r="K189" s="29" t="s">
        <v>312</v>
      </c>
      <c r="O189" s="28" t="s">
        <v>627</v>
      </c>
    </row>
    <row r="190" spans="1:15" ht="30" customHeight="1">
      <c r="A190" s="28" t="s">
        <v>218</v>
      </c>
      <c r="B190" s="28" t="s">
        <v>7</v>
      </c>
      <c r="C190" s="28">
        <v>1057594286</v>
      </c>
      <c r="D190" s="28" t="s">
        <v>628</v>
      </c>
      <c r="I190" s="28" t="s">
        <v>626</v>
      </c>
      <c r="J190" s="29">
        <v>45812</v>
      </c>
      <c r="K190" s="29" t="s">
        <v>312</v>
      </c>
      <c r="O190" s="28" t="s">
        <v>627</v>
      </c>
    </row>
    <row r="191" spans="1:15" ht="30" customHeight="1">
      <c r="A191" s="28" t="s">
        <v>218</v>
      </c>
      <c r="B191" s="28" t="s">
        <v>7</v>
      </c>
      <c r="C191" s="28">
        <v>1004631161</v>
      </c>
      <c r="D191" s="28" t="s">
        <v>629</v>
      </c>
      <c r="I191" s="28" t="s">
        <v>626</v>
      </c>
      <c r="J191" s="29">
        <v>45812</v>
      </c>
      <c r="K191" s="29" t="s">
        <v>312</v>
      </c>
      <c r="O191" s="28" t="s">
        <v>627</v>
      </c>
    </row>
    <row r="192" spans="1:15" ht="30" customHeight="1">
      <c r="A192" s="28" t="s">
        <v>218</v>
      </c>
      <c r="B192" s="28" t="s">
        <v>7</v>
      </c>
      <c r="C192" s="28">
        <v>1050963122</v>
      </c>
      <c r="D192" s="28" t="s">
        <v>630</v>
      </c>
      <c r="I192" s="28" t="s">
        <v>626</v>
      </c>
      <c r="J192" s="29">
        <v>45812</v>
      </c>
      <c r="K192" s="29" t="s">
        <v>312</v>
      </c>
      <c r="O192" s="28" t="s">
        <v>627</v>
      </c>
    </row>
    <row r="193" spans="1:15" ht="30" customHeight="1">
      <c r="A193" s="28" t="s">
        <v>218</v>
      </c>
      <c r="B193" s="28" t="s">
        <v>7</v>
      </c>
      <c r="C193" s="28">
        <v>1233189211</v>
      </c>
      <c r="D193" s="28" t="s">
        <v>631</v>
      </c>
      <c r="I193" s="28" t="s">
        <v>626</v>
      </c>
      <c r="J193" s="29">
        <v>45812</v>
      </c>
      <c r="K193" s="29" t="s">
        <v>312</v>
      </c>
      <c r="O193" s="28" t="s">
        <v>627</v>
      </c>
    </row>
    <row r="194" spans="1:15" ht="30" customHeight="1">
      <c r="A194" s="28" t="s">
        <v>217</v>
      </c>
      <c r="B194" s="28" t="s">
        <v>20</v>
      </c>
      <c r="C194" s="28">
        <v>1053780662</v>
      </c>
      <c r="D194" s="28" t="s">
        <v>632</v>
      </c>
      <c r="H194" s="28" t="s">
        <v>633</v>
      </c>
      <c r="I194" s="28" t="s">
        <v>634</v>
      </c>
      <c r="J194" s="29">
        <v>45812</v>
      </c>
      <c r="K194" s="28" t="s">
        <v>312</v>
      </c>
      <c r="L194" s="28" t="s">
        <v>320</v>
      </c>
      <c r="M194" s="29" t="s">
        <v>245</v>
      </c>
      <c r="N194" s="28"/>
    </row>
    <row r="195" spans="1:15" ht="30" customHeight="1">
      <c r="A195" s="28" t="s">
        <v>219</v>
      </c>
      <c r="B195" s="28" t="s">
        <v>17</v>
      </c>
      <c r="D195" s="28" t="s">
        <v>635</v>
      </c>
      <c r="E195" s="28" t="s">
        <v>16</v>
      </c>
      <c r="F195" s="28" t="s">
        <v>214</v>
      </c>
      <c r="G195" s="28" t="s">
        <v>211</v>
      </c>
      <c r="H195" s="28" t="s">
        <v>636</v>
      </c>
      <c r="J195" s="29">
        <v>45812</v>
      </c>
      <c r="L195" s="29" t="s">
        <v>16</v>
      </c>
      <c r="M195" s="29" t="s">
        <v>245</v>
      </c>
    </row>
    <row r="196" spans="1:15" ht="30" customHeight="1">
      <c r="A196" s="28" t="s">
        <v>217</v>
      </c>
      <c r="B196" s="28" t="s">
        <v>31</v>
      </c>
      <c r="C196" s="28">
        <v>1081159752</v>
      </c>
      <c r="D196" s="28" t="s">
        <v>637</v>
      </c>
      <c r="H196" s="28" t="s">
        <v>554</v>
      </c>
      <c r="I196" s="28" t="s">
        <v>638</v>
      </c>
      <c r="J196" s="29">
        <v>45812</v>
      </c>
      <c r="K196" s="29" t="s">
        <v>312</v>
      </c>
      <c r="L196" s="29" t="s">
        <v>10</v>
      </c>
      <c r="M196" s="29" t="s">
        <v>245</v>
      </c>
    </row>
    <row r="197" spans="1:15" ht="30" customHeight="1">
      <c r="A197" s="28" t="s">
        <v>217</v>
      </c>
      <c r="B197" s="28" t="s">
        <v>37</v>
      </c>
      <c r="C197" s="28">
        <v>1034777213</v>
      </c>
      <c r="D197" s="28" t="s">
        <v>639</v>
      </c>
      <c r="H197" s="28" t="s">
        <v>640</v>
      </c>
      <c r="I197" s="28" t="s">
        <v>641</v>
      </c>
      <c r="J197" s="29">
        <v>45812</v>
      </c>
      <c r="K197" s="29" t="s">
        <v>312</v>
      </c>
      <c r="L197" s="29" t="s">
        <v>320</v>
      </c>
      <c r="M197" s="29" t="s">
        <v>245</v>
      </c>
    </row>
    <row r="198" spans="1:15" ht="30" customHeight="1">
      <c r="A198" s="28" t="s">
        <v>217</v>
      </c>
      <c r="B198" s="28" t="s">
        <v>37</v>
      </c>
      <c r="C198" s="28">
        <v>1000148794</v>
      </c>
      <c r="D198" s="28" t="s">
        <v>642</v>
      </c>
      <c r="H198" s="28" t="s">
        <v>640</v>
      </c>
      <c r="I198" s="28" t="s">
        <v>641</v>
      </c>
      <c r="J198" s="29">
        <v>45812</v>
      </c>
      <c r="K198" s="29" t="s">
        <v>312</v>
      </c>
      <c r="M198" s="29" t="s">
        <v>245</v>
      </c>
      <c r="O198" s="28" t="s">
        <v>643</v>
      </c>
    </row>
    <row r="199" spans="1:15" ht="30" customHeight="1">
      <c r="A199" s="28" t="s">
        <v>220</v>
      </c>
      <c r="B199" s="28" t="s">
        <v>27</v>
      </c>
      <c r="D199" s="28" t="s">
        <v>644</v>
      </c>
      <c r="I199" s="28" t="s">
        <v>645</v>
      </c>
      <c r="J199" s="29">
        <v>45813</v>
      </c>
      <c r="L199" s="29" t="s">
        <v>320</v>
      </c>
      <c r="M199" s="29" t="s">
        <v>245</v>
      </c>
    </row>
    <row r="200" spans="1:15" ht="30" customHeight="1">
      <c r="A200" s="28" t="s">
        <v>218</v>
      </c>
      <c r="B200" s="28" t="s">
        <v>7</v>
      </c>
      <c r="D200" s="28" t="s">
        <v>631</v>
      </c>
      <c r="I200" s="28" t="s">
        <v>646</v>
      </c>
      <c r="J200" s="29">
        <v>45813</v>
      </c>
      <c r="L200" s="29" t="s">
        <v>320</v>
      </c>
      <c r="M200" s="29" t="s">
        <v>245</v>
      </c>
    </row>
    <row r="201" spans="1:15" ht="30" customHeight="1">
      <c r="A201" s="28" t="s">
        <v>218</v>
      </c>
      <c r="B201" s="28" t="s">
        <v>7</v>
      </c>
      <c r="D201" s="38" t="s">
        <v>647</v>
      </c>
      <c r="I201" s="28" t="s">
        <v>646</v>
      </c>
      <c r="J201" s="29">
        <v>45813</v>
      </c>
      <c r="L201" s="29" t="s">
        <v>320</v>
      </c>
      <c r="M201" s="29" t="s">
        <v>245</v>
      </c>
    </row>
    <row r="202" spans="1:15" ht="30" customHeight="1">
      <c r="A202" s="28" t="s">
        <v>218</v>
      </c>
      <c r="B202" s="28" t="s">
        <v>7</v>
      </c>
      <c r="D202" s="38" t="s">
        <v>648</v>
      </c>
      <c r="I202" s="28" t="s">
        <v>646</v>
      </c>
      <c r="J202" s="29">
        <v>45813</v>
      </c>
      <c r="L202" s="29" t="s">
        <v>320</v>
      </c>
      <c r="M202" s="29" t="s">
        <v>245</v>
      </c>
    </row>
    <row r="203" spans="1:15" ht="30" customHeight="1">
      <c r="A203" s="28" t="s">
        <v>218</v>
      </c>
      <c r="B203" s="28" t="s">
        <v>7</v>
      </c>
      <c r="D203" s="38" t="s">
        <v>629</v>
      </c>
      <c r="I203" s="28" t="s">
        <v>646</v>
      </c>
      <c r="J203" s="29">
        <v>45813</v>
      </c>
      <c r="L203" s="29" t="s">
        <v>320</v>
      </c>
      <c r="M203" s="29" t="s">
        <v>245</v>
      </c>
    </row>
    <row r="204" spans="1:15" ht="30" customHeight="1">
      <c r="A204" s="28" t="s">
        <v>218</v>
      </c>
      <c r="B204" s="28" t="s">
        <v>7</v>
      </c>
      <c r="D204" s="38" t="s">
        <v>649</v>
      </c>
      <c r="I204" s="28" t="s">
        <v>646</v>
      </c>
      <c r="J204" s="29">
        <v>45813</v>
      </c>
      <c r="L204" s="29" t="s">
        <v>320</v>
      </c>
      <c r="M204" s="29" t="s">
        <v>245</v>
      </c>
    </row>
    <row r="205" spans="1:15" ht="30" customHeight="1">
      <c r="A205" s="28" t="s">
        <v>220</v>
      </c>
      <c r="B205" s="28" t="s">
        <v>22</v>
      </c>
      <c r="D205" s="28" t="s">
        <v>650</v>
      </c>
      <c r="I205" s="28" t="s">
        <v>651</v>
      </c>
      <c r="J205" s="29">
        <v>45813</v>
      </c>
      <c r="L205" s="29" t="s">
        <v>320</v>
      </c>
      <c r="M205" s="29" t="s">
        <v>245</v>
      </c>
    </row>
    <row r="206" spans="1:15" ht="30" customHeight="1">
      <c r="A206" s="28" t="s">
        <v>220</v>
      </c>
      <c r="B206" s="28" t="s">
        <v>22</v>
      </c>
      <c r="D206" s="28" t="s">
        <v>652</v>
      </c>
      <c r="I206" s="28" t="s">
        <v>651</v>
      </c>
      <c r="J206" s="29">
        <v>45813</v>
      </c>
      <c r="L206" s="29" t="s">
        <v>320</v>
      </c>
      <c r="M206" s="29" t="s">
        <v>245</v>
      </c>
    </row>
    <row r="207" spans="1:15" ht="30" customHeight="1">
      <c r="A207" s="28" t="s">
        <v>220</v>
      </c>
      <c r="B207" s="28" t="s">
        <v>22</v>
      </c>
      <c r="D207" s="28" t="s">
        <v>653</v>
      </c>
      <c r="E207" s="28" t="s">
        <v>8</v>
      </c>
      <c r="G207" s="28" t="s">
        <v>211</v>
      </c>
      <c r="H207" s="28" t="s">
        <v>654</v>
      </c>
      <c r="I207" s="28" t="s">
        <v>655</v>
      </c>
      <c r="J207" s="29">
        <v>45813</v>
      </c>
      <c r="L207" s="29" t="s">
        <v>8</v>
      </c>
      <c r="M207" s="29" t="s">
        <v>245</v>
      </c>
    </row>
    <row r="208" spans="1:15" ht="30" customHeight="1">
      <c r="A208" s="28" t="s">
        <v>220</v>
      </c>
      <c r="B208" s="28" t="s">
        <v>22</v>
      </c>
      <c r="D208" s="28" t="s">
        <v>656</v>
      </c>
      <c r="E208" s="28" t="s">
        <v>8</v>
      </c>
      <c r="G208" s="28" t="s">
        <v>211</v>
      </c>
      <c r="H208" s="28" t="s">
        <v>654</v>
      </c>
      <c r="I208" s="28" t="s">
        <v>655</v>
      </c>
      <c r="J208" s="29">
        <v>45813</v>
      </c>
      <c r="L208" s="29" t="s">
        <v>8</v>
      </c>
      <c r="M208" s="29" t="s">
        <v>245</v>
      </c>
    </row>
    <row r="209" spans="1:15" ht="30" customHeight="1">
      <c r="A209" s="28" t="s">
        <v>220</v>
      </c>
      <c r="B209" s="28" t="s">
        <v>22</v>
      </c>
      <c r="D209" s="28" t="s">
        <v>657</v>
      </c>
      <c r="E209" s="28" t="s">
        <v>8</v>
      </c>
      <c r="G209" s="28" t="s">
        <v>211</v>
      </c>
      <c r="H209" s="28" t="s">
        <v>654</v>
      </c>
      <c r="I209" s="28" t="s">
        <v>655</v>
      </c>
      <c r="J209" s="29">
        <v>45813</v>
      </c>
      <c r="L209" s="29" t="s">
        <v>8</v>
      </c>
      <c r="M209" s="29" t="s">
        <v>245</v>
      </c>
    </row>
    <row r="210" spans="1:15" ht="30" customHeight="1">
      <c r="A210" s="28" t="s">
        <v>218</v>
      </c>
      <c r="B210" s="28" t="s">
        <v>7</v>
      </c>
      <c r="D210" s="28" t="s">
        <v>658</v>
      </c>
      <c r="E210" s="28" t="s">
        <v>10</v>
      </c>
      <c r="I210" s="28" t="s">
        <v>659</v>
      </c>
      <c r="J210" s="29">
        <v>45813</v>
      </c>
      <c r="L210" s="29" t="s">
        <v>320</v>
      </c>
      <c r="M210" s="29" t="s">
        <v>245</v>
      </c>
      <c r="O210" s="28" t="s">
        <v>660</v>
      </c>
    </row>
    <row r="211" spans="1:15" ht="30" customHeight="1">
      <c r="A211" s="28" t="s">
        <v>220</v>
      </c>
      <c r="B211" s="28" t="s">
        <v>23</v>
      </c>
      <c r="D211" s="38" t="s">
        <v>661</v>
      </c>
      <c r="J211" s="29">
        <v>45813</v>
      </c>
      <c r="L211" s="29" t="s">
        <v>320</v>
      </c>
      <c r="M211" s="29" t="s">
        <v>245</v>
      </c>
    </row>
    <row r="212" spans="1:15" ht="30" customHeight="1">
      <c r="A212" s="28" t="s">
        <v>220</v>
      </c>
      <c r="B212" s="28" t="s">
        <v>22</v>
      </c>
      <c r="D212" s="38" t="s">
        <v>662</v>
      </c>
      <c r="H212" s="28" t="s">
        <v>663</v>
      </c>
      <c r="I212" s="28" t="s">
        <v>664</v>
      </c>
      <c r="J212" s="29">
        <v>5</v>
      </c>
      <c r="L212" s="29" t="s">
        <v>320</v>
      </c>
      <c r="M212" s="29" t="s">
        <v>245</v>
      </c>
    </row>
    <row r="213" spans="1:15" ht="30" customHeight="1">
      <c r="A213" s="28" t="s">
        <v>220</v>
      </c>
      <c r="B213" s="28" t="s">
        <v>22</v>
      </c>
      <c r="D213" s="38" t="s">
        <v>272</v>
      </c>
      <c r="H213" s="28" t="s">
        <v>663</v>
      </c>
      <c r="I213" s="28" t="s">
        <v>664</v>
      </c>
      <c r="J213" s="29">
        <v>5</v>
      </c>
      <c r="L213" s="29" t="s">
        <v>320</v>
      </c>
      <c r="M213" s="29" t="s">
        <v>245</v>
      </c>
    </row>
    <row r="214" spans="1:15" ht="30" customHeight="1">
      <c r="A214" s="28" t="s">
        <v>219</v>
      </c>
      <c r="C214" s="28" t="s">
        <v>142</v>
      </c>
      <c r="D214" s="28" t="s">
        <v>665</v>
      </c>
      <c r="H214" s="28" t="s">
        <v>666</v>
      </c>
      <c r="I214" s="28" t="s">
        <v>667</v>
      </c>
      <c r="J214" s="29">
        <v>45813</v>
      </c>
      <c r="L214" s="29" t="s">
        <v>8</v>
      </c>
      <c r="M214" s="29" t="s">
        <v>245</v>
      </c>
      <c r="O214" s="28" t="s">
        <v>668</v>
      </c>
    </row>
    <row r="215" spans="1:15" ht="30" customHeight="1">
      <c r="A215" s="28" t="s">
        <v>219</v>
      </c>
      <c r="C215" s="28" t="s">
        <v>142</v>
      </c>
      <c r="D215" s="28" t="s">
        <v>669</v>
      </c>
      <c r="H215" s="28" t="s">
        <v>666</v>
      </c>
      <c r="I215" s="28" t="s">
        <v>667</v>
      </c>
      <c r="J215" s="29">
        <v>45813</v>
      </c>
      <c r="L215" s="29" t="s">
        <v>8</v>
      </c>
      <c r="M215" s="29" t="s">
        <v>245</v>
      </c>
      <c r="O215" s="28" t="s">
        <v>668</v>
      </c>
    </row>
    <row r="216" spans="1:15" ht="30" customHeight="1">
      <c r="A216" s="28" t="s">
        <v>220</v>
      </c>
      <c r="B216" s="28" t="s">
        <v>27</v>
      </c>
      <c r="D216" s="28" t="s">
        <v>670</v>
      </c>
      <c r="G216" s="28" t="s">
        <v>210</v>
      </c>
      <c r="H216" s="28" t="s">
        <v>671</v>
      </c>
      <c r="I216" s="28" t="s">
        <v>672</v>
      </c>
      <c r="J216" s="29">
        <v>45813</v>
      </c>
      <c r="K216" s="28"/>
      <c r="L216" s="28" t="s">
        <v>8</v>
      </c>
      <c r="M216" s="29" t="s">
        <v>245</v>
      </c>
      <c r="N216" s="28"/>
      <c r="O216" s="28" t="s">
        <v>673</v>
      </c>
    </row>
    <row r="217" spans="1:15" ht="30" customHeight="1">
      <c r="A217" s="28" t="s">
        <v>217</v>
      </c>
      <c r="B217" s="28" t="s">
        <v>25</v>
      </c>
      <c r="D217" s="28" t="s">
        <v>674</v>
      </c>
      <c r="H217" s="28" t="s">
        <v>675</v>
      </c>
      <c r="I217" s="28" t="s">
        <v>676</v>
      </c>
      <c r="J217" s="29">
        <v>45813</v>
      </c>
      <c r="L217" s="29" t="s">
        <v>16</v>
      </c>
      <c r="M217" s="29" t="s">
        <v>245</v>
      </c>
    </row>
    <row r="218" spans="1:15" ht="30" customHeight="1">
      <c r="A218" s="28" t="s">
        <v>217</v>
      </c>
      <c r="B218" s="28" t="s">
        <v>25</v>
      </c>
      <c r="D218" s="28" t="s">
        <v>677</v>
      </c>
      <c r="H218" s="28" t="s">
        <v>675</v>
      </c>
      <c r="I218" s="28" t="s">
        <v>676</v>
      </c>
      <c r="J218" s="29">
        <v>45813</v>
      </c>
      <c r="L218" s="29" t="s">
        <v>16</v>
      </c>
      <c r="M218" s="29" t="s">
        <v>245</v>
      </c>
    </row>
    <row r="219" spans="1:15" ht="30" customHeight="1">
      <c r="A219" s="28" t="s">
        <v>220</v>
      </c>
      <c r="B219" s="28" t="s">
        <v>22</v>
      </c>
      <c r="D219" s="28" t="s">
        <v>656</v>
      </c>
      <c r="I219" s="28" t="s">
        <v>678</v>
      </c>
      <c r="J219" s="29">
        <v>45813</v>
      </c>
      <c r="L219" s="29" t="s">
        <v>320</v>
      </c>
      <c r="M219" s="29" t="s">
        <v>245</v>
      </c>
    </row>
    <row r="220" spans="1:15" ht="30" customHeight="1">
      <c r="A220" s="28" t="s">
        <v>220</v>
      </c>
      <c r="B220" s="28" t="s">
        <v>22</v>
      </c>
      <c r="D220" s="28" t="s">
        <v>653</v>
      </c>
      <c r="I220" s="28" t="s">
        <v>678</v>
      </c>
      <c r="J220" s="29">
        <v>45813</v>
      </c>
      <c r="L220" s="29" t="s">
        <v>320</v>
      </c>
      <c r="M220" s="29" t="s">
        <v>245</v>
      </c>
    </row>
    <row r="221" spans="1:15" ht="30" customHeight="1">
      <c r="A221" s="28" t="s">
        <v>220</v>
      </c>
      <c r="B221" s="28" t="s">
        <v>22</v>
      </c>
      <c r="D221" s="28" t="s">
        <v>679</v>
      </c>
      <c r="I221" s="28" t="s">
        <v>678</v>
      </c>
      <c r="J221" s="29">
        <v>45813</v>
      </c>
      <c r="L221" s="29" t="s">
        <v>320</v>
      </c>
      <c r="M221" s="29" t="s">
        <v>245</v>
      </c>
    </row>
    <row r="222" spans="1:15" ht="30" customHeight="1">
      <c r="A222" s="28" t="s">
        <v>220</v>
      </c>
      <c r="B222" s="28" t="s">
        <v>22</v>
      </c>
      <c r="D222" s="28" t="s">
        <v>680</v>
      </c>
      <c r="I222" s="28" t="s">
        <v>681</v>
      </c>
      <c r="J222" s="29">
        <v>45813</v>
      </c>
      <c r="L222" s="29" t="s">
        <v>320</v>
      </c>
      <c r="M222" s="29" t="s">
        <v>245</v>
      </c>
    </row>
    <row r="223" spans="1:15" ht="30" customHeight="1">
      <c r="A223" s="28" t="s">
        <v>220</v>
      </c>
      <c r="B223" s="28" t="s">
        <v>22</v>
      </c>
      <c r="D223" s="28" t="s">
        <v>682</v>
      </c>
      <c r="I223" s="28" t="s">
        <v>683</v>
      </c>
      <c r="J223" s="29">
        <v>45813</v>
      </c>
      <c r="L223" s="29" t="s">
        <v>320</v>
      </c>
      <c r="M223" s="29" t="s">
        <v>245</v>
      </c>
    </row>
    <row r="224" spans="1:15" ht="30" customHeight="1">
      <c r="A224" s="28" t="s">
        <v>220</v>
      </c>
      <c r="B224" s="28" t="s">
        <v>22</v>
      </c>
      <c r="D224" s="28" t="s">
        <v>684</v>
      </c>
      <c r="I224" s="28" t="s">
        <v>683</v>
      </c>
      <c r="J224" s="29">
        <v>45813</v>
      </c>
      <c r="L224" s="29" t="s">
        <v>320</v>
      </c>
      <c r="M224" s="29" t="s">
        <v>245</v>
      </c>
    </row>
    <row r="225" spans="1:15" ht="30" customHeight="1">
      <c r="D225" s="28" t="s">
        <v>685</v>
      </c>
      <c r="I225" s="28" t="s">
        <v>686</v>
      </c>
      <c r="J225" s="29">
        <v>45813</v>
      </c>
      <c r="L225" s="29" t="s">
        <v>320</v>
      </c>
      <c r="M225" s="29" t="s">
        <v>245</v>
      </c>
    </row>
    <row r="226" spans="1:15" ht="30" customHeight="1">
      <c r="A226" s="28" t="s">
        <v>220</v>
      </c>
      <c r="B226" s="28" t="s">
        <v>22</v>
      </c>
      <c r="D226" s="28" t="s">
        <v>687</v>
      </c>
      <c r="I226" s="28" t="s">
        <v>664</v>
      </c>
      <c r="J226" s="29">
        <v>45813</v>
      </c>
      <c r="L226" s="29" t="s">
        <v>320</v>
      </c>
      <c r="M226" s="29" t="s">
        <v>245</v>
      </c>
    </row>
    <row r="227" spans="1:15" ht="30" customHeight="1">
      <c r="A227" s="28" t="s">
        <v>220</v>
      </c>
      <c r="B227" s="28" t="s">
        <v>22</v>
      </c>
    </row>
    <row r="229" spans="1:15" ht="30" customHeight="1">
      <c r="A229" s="28" t="s">
        <v>218</v>
      </c>
      <c r="B229" s="28" t="s">
        <v>7</v>
      </c>
      <c r="D229" s="28" t="s">
        <v>688</v>
      </c>
      <c r="I229" s="28" t="s">
        <v>689</v>
      </c>
      <c r="J229" s="29">
        <v>45813</v>
      </c>
      <c r="L229" s="29" t="s">
        <v>320</v>
      </c>
      <c r="M229" s="29" t="s">
        <v>245</v>
      </c>
    </row>
    <row r="230" spans="1:15" ht="30" customHeight="1">
      <c r="A230" s="28" t="s">
        <v>217</v>
      </c>
      <c r="B230" s="28" t="s">
        <v>31</v>
      </c>
      <c r="C230" s="28">
        <v>1053826684</v>
      </c>
      <c r="D230" s="28" t="s">
        <v>690</v>
      </c>
      <c r="E230" s="28" t="s">
        <v>10</v>
      </c>
      <c r="H230" s="28" t="s">
        <v>554</v>
      </c>
      <c r="I230" s="28" t="s">
        <v>691</v>
      </c>
      <c r="J230" s="29">
        <v>45813</v>
      </c>
      <c r="K230" s="28"/>
      <c r="L230" s="28" t="s">
        <v>10</v>
      </c>
      <c r="M230" s="29" t="s">
        <v>245</v>
      </c>
      <c r="N230" s="28"/>
    </row>
    <row r="231" spans="1:15" ht="30" customHeight="1">
      <c r="A231" s="28" t="s">
        <v>219</v>
      </c>
      <c r="B231" s="28" t="s">
        <v>9</v>
      </c>
      <c r="D231" s="28" t="s">
        <v>692</v>
      </c>
      <c r="H231" s="28" t="s">
        <v>693</v>
      </c>
      <c r="I231" s="28" t="s">
        <v>694</v>
      </c>
      <c r="J231" s="29">
        <v>45813</v>
      </c>
      <c r="L231" s="29" t="s">
        <v>16</v>
      </c>
      <c r="M231" s="29" t="s">
        <v>245</v>
      </c>
    </row>
    <row r="232" spans="1:15" ht="30" customHeight="1">
      <c r="A232" s="28" t="s">
        <v>217</v>
      </c>
      <c r="B232" s="28" t="s">
        <v>31</v>
      </c>
      <c r="C232" s="28">
        <v>3054158538</v>
      </c>
      <c r="D232" s="28" t="s">
        <v>695</v>
      </c>
      <c r="H232" s="28" t="s">
        <v>696</v>
      </c>
      <c r="I232" s="28" t="s">
        <v>697</v>
      </c>
      <c r="J232" s="29">
        <v>45813</v>
      </c>
      <c r="K232" s="28" t="s">
        <v>312</v>
      </c>
      <c r="L232" s="28" t="s">
        <v>320</v>
      </c>
      <c r="M232" s="29" t="s">
        <v>245</v>
      </c>
      <c r="N232" s="28"/>
      <c r="O232" s="28" t="s">
        <v>698</v>
      </c>
    </row>
    <row r="233" spans="1:15" ht="30" customHeight="1">
      <c r="A233" s="28" t="s">
        <v>217</v>
      </c>
      <c r="B233" s="28" t="s">
        <v>20</v>
      </c>
      <c r="D233" s="28" t="s">
        <v>699</v>
      </c>
      <c r="I233" s="28" t="s">
        <v>700</v>
      </c>
      <c r="J233" s="29">
        <v>45813</v>
      </c>
      <c r="L233" s="29" t="s">
        <v>320</v>
      </c>
      <c r="M233" s="29" t="s">
        <v>245</v>
      </c>
    </row>
    <row r="234" spans="1:15" ht="30" customHeight="1">
      <c r="A234" s="28" t="s">
        <v>217</v>
      </c>
      <c r="B234" s="28" t="s">
        <v>20</v>
      </c>
      <c r="D234" s="28" t="s">
        <v>701</v>
      </c>
      <c r="I234" s="28" t="s">
        <v>700</v>
      </c>
      <c r="J234" s="29">
        <v>45813</v>
      </c>
      <c r="L234" s="29" t="s">
        <v>320</v>
      </c>
      <c r="M234" s="29" t="s">
        <v>245</v>
      </c>
    </row>
    <row r="235" spans="1:15" ht="30" customHeight="1">
      <c r="A235" s="28" t="s">
        <v>220</v>
      </c>
      <c r="B235" s="49" t="s">
        <v>27</v>
      </c>
      <c r="D235" s="28" t="s">
        <v>702</v>
      </c>
      <c r="H235" s="28" t="s">
        <v>703</v>
      </c>
      <c r="I235" s="28" t="s">
        <v>704</v>
      </c>
      <c r="J235" s="29">
        <v>45813</v>
      </c>
      <c r="K235" s="28"/>
      <c r="L235" s="28" t="s">
        <v>16</v>
      </c>
      <c r="M235" s="29" t="s">
        <v>245</v>
      </c>
      <c r="N235" s="28"/>
    </row>
    <row r="236" spans="1:15" ht="30" customHeight="1">
      <c r="A236" s="28" t="s">
        <v>217</v>
      </c>
      <c r="B236" s="28" t="s">
        <v>20</v>
      </c>
      <c r="C236" s="28">
        <v>75069301</v>
      </c>
      <c r="D236" s="28" t="s">
        <v>705</v>
      </c>
      <c r="E236" s="28" t="s">
        <v>10</v>
      </c>
      <c r="I236" s="28" t="s">
        <v>706</v>
      </c>
      <c r="J236" s="29">
        <v>45813</v>
      </c>
      <c r="K236" s="29" t="s">
        <v>312</v>
      </c>
      <c r="L236" s="29" t="s">
        <v>10</v>
      </c>
      <c r="M236" s="29" t="s">
        <v>245</v>
      </c>
      <c r="O236" s="28" t="s">
        <v>698</v>
      </c>
    </row>
    <row r="237" spans="1:15" ht="30" customHeight="1">
      <c r="A237" s="28" t="s">
        <v>217</v>
      </c>
      <c r="B237" s="28" t="s">
        <v>20</v>
      </c>
      <c r="C237" s="28">
        <v>30393856</v>
      </c>
      <c r="D237" s="28" t="s">
        <v>707</v>
      </c>
      <c r="E237" s="28" t="s">
        <v>10</v>
      </c>
      <c r="I237" s="28" t="s">
        <v>706</v>
      </c>
      <c r="J237" s="29">
        <v>45813</v>
      </c>
      <c r="K237" s="29" t="s">
        <v>312</v>
      </c>
      <c r="L237" s="29" t="s">
        <v>10</v>
      </c>
      <c r="M237" s="29" t="s">
        <v>245</v>
      </c>
      <c r="O237" s="28" t="s">
        <v>698</v>
      </c>
    </row>
    <row r="238" spans="1:15" ht="30" customHeight="1">
      <c r="A238" s="28" t="s">
        <v>220</v>
      </c>
      <c r="B238" s="28" t="s">
        <v>22</v>
      </c>
      <c r="C238" s="28">
        <v>66848465</v>
      </c>
      <c r="D238" s="28" t="s">
        <v>708</v>
      </c>
      <c r="I238" s="28" t="s">
        <v>709</v>
      </c>
      <c r="J238" s="29">
        <v>45813</v>
      </c>
      <c r="K238" s="29" t="s">
        <v>312</v>
      </c>
      <c r="L238" s="29" t="s">
        <v>320</v>
      </c>
      <c r="M238" s="29" t="s">
        <v>245</v>
      </c>
      <c r="O238" s="28" t="s">
        <v>710</v>
      </c>
    </row>
    <row r="239" spans="1:15" ht="30" customHeight="1">
      <c r="A239" s="28" t="s">
        <v>220</v>
      </c>
      <c r="B239" s="28" t="s">
        <v>22</v>
      </c>
      <c r="C239" s="28">
        <v>66971341</v>
      </c>
      <c r="D239" s="28" t="s">
        <v>711</v>
      </c>
      <c r="I239" s="28" t="s">
        <v>709</v>
      </c>
      <c r="J239" s="29">
        <v>45813</v>
      </c>
      <c r="K239" s="29" t="s">
        <v>312</v>
      </c>
      <c r="L239" s="29" t="s">
        <v>320</v>
      </c>
      <c r="M239" s="29" t="s">
        <v>245</v>
      </c>
      <c r="O239" s="28" t="s">
        <v>712</v>
      </c>
    </row>
    <row r="240" spans="1:15" ht="30" customHeight="1">
      <c r="A240" s="28" t="s">
        <v>217</v>
      </c>
      <c r="B240" s="49" t="s">
        <v>42</v>
      </c>
      <c r="D240" s="28" t="s">
        <v>713</v>
      </c>
      <c r="E240" s="28" t="s">
        <v>10</v>
      </c>
      <c r="H240" s="28" t="s">
        <v>714</v>
      </c>
      <c r="I240" s="28" t="s">
        <v>715</v>
      </c>
      <c r="J240" s="29">
        <v>45814</v>
      </c>
      <c r="L240" s="29" t="s">
        <v>10</v>
      </c>
      <c r="M240" s="29" t="s">
        <v>245</v>
      </c>
      <c r="O240" s="28" t="s">
        <v>716</v>
      </c>
    </row>
    <row r="241" spans="1:18" ht="30" customHeight="1">
      <c r="A241" s="28" t="s">
        <v>217</v>
      </c>
      <c r="B241" s="28" t="s">
        <v>38</v>
      </c>
      <c r="D241" s="28" t="s">
        <v>717</v>
      </c>
      <c r="H241" s="28" t="s">
        <v>718</v>
      </c>
      <c r="I241" s="28" t="s">
        <v>719</v>
      </c>
      <c r="J241" s="29">
        <v>45814</v>
      </c>
      <c r="L241" s="29" t="s">
        <v>16</v>
      </c>
      <c r="M241" s="29" t="s">
        <v>245</v>
      </c>
    </row>
    <row r="242" spans="1:18" ht="30" customHeight="1">
      <c r="A242" s="28" t="s">
        <v>217</v>
      </c>
      <c r="B242" s="28" t="s">
        <v>36</v>
      </c>
      <c r="D242" s="28" t="s">
        <v>720</v>
      </c>
      <c r="I242" s="28" t="s">
        <v>721</v>
      </c>
      <c r="J242" s="29">
        <v>6</v>
      </c>
      <c r="L242" s="29" t="s">
        <v>320</v>
      </c>
      <c r="M242" s="29" t="s">
        <v>245</v>
      </c>
    </row>
    <row r="243" spans="1:18" ht="30" customHeight="1">
      <c r="A243" s="28" t="s">
        <v>217</v>
      </c>
      <c r="B243" s="28" t="s">
        <v>36</v>
      </c>
      <c r="D243" s="28" t="s">
        <v>722</v>
      </c>
      <c r="I243" s="28" t="s">
        <v>721</v>
      </c>
      <c r="J243" s="29">
        <v>45814</v>
      </c>
      <c r="L243" s="29" t="s">
        <v>320</v>
      </c>
      <c r="M243" s="29" t="s">
        <v>245</v>
      </c>
    </row>
    <row r="244" spans="1:18" ht="30" customHeight="1">
      <c r="A244" s="28" t="s">
        <v>220</v>
      </c>
      <c r="B244" s="28" t="s">
        <v>23</v>
      </c>
      <c r="C244" s="28">
        <v>1088281507</v>
      </c>
      <c r="D244" s="28" t="s">
        <v>723</v>
      </c>
      <c r="E244" s="28" t="s">
        <v>10</v>
      </c>
      <c r="H244" s="28" t="s">
        <v>724</v>
      </c>
      <c r="I244" s="28" t="s">
        <v>725</v>
      </c>
      <c r="J244" s="29">
        <v>45814</v>
      </c>
      <c r="L244" s="29" t="s">
        <v>10</v>
      </c>
      <c r="M244" s="29" t="s">
        <v>245</v>
      </c>
    </row>
    <row r="245" spans="1:18" ht="30" customHeight="1">
      <c r="A245" s="28" t="s">
        <v>220</v>
      </c>
      <c r="B245" s="28" t="s">
        <v>23</v>
      </c>
      <c r="C245" s="28">
        <v>34445904</v>
      </c>
      <c r="D245" s="28" t="s">
        <v>726</v>
      </c>
      <c r="E245" s="28" t="s">
        <v>10</v>
      </c>
      <c r="H245" s="28" t="s">
        <v>724</v>
      </c>
      <c r="I245" s="28" t="s">
        <v>725</v>
      </c>
      <c r="J245" s="29">
        <v>6</v>
      </c>
      <c r="L245" s="29" t="s">
        <v>10</v>
      </c>
      <c r="M245" s="29" t="s">
        <v>245</v>
      </c>
    </row>
    <row r="246" spans="1:18" ht="30" customHeight="1">
      <c r="A246" s="28" t="s">
        <v>220</v>
      </c>
      <c r="B246" s="49" t="s">
        <v>23</v>
      </c>
      <c r="D246" s="28" t="s">
        <v>727</v>
      </c>
      <c r="I246" s="28" t="s">
        <v>728</v>
      </c>
      <c r="J246" s="29">
        <v>45814</v>
      </c>
      <c r="L246" s="29" t="s">
        <v>16</v>
      </c>
      <c r="M246" s="29" t="s">
        <v>245</v>
      </c>
    </row>
    <row r="247" spans="1:18" ht="30" customHeight="1">
      <c r="A247" s="28" t="s">
        <v>220</v>
      </c>
      <c r="B247" s="49" t="s">
        <v>23</v>
      </c>
      <c r="D247" s="28" t="s">
        <v>729</v>
      </c>
      <c r="I247" s="28" t="s">
        <v>728</v>
      </c>
      <c r="J247" s="29">
        <v>45814</v>
      </c>
      <c r="L247" s="29" t="s">
        <v>16</v>
      </c>
      <c r="M247" s="29" t="s">
        <v>245</v>
      </c>
    </row>
    <row r="248" spans="1:18" ht="30" customHeight="1">
      <c r="A248" s="28" t="s">
        <v>218</v>
      </c>
      <c r="B248" s="49" t="s">
        <v>7</v>
      </c>
      <c r="D248" s="28" t="s">
        <v>730</v>
      </c>
      <c r="H248" s="28" t="s">
        <v>610</v>
      </c>
      <c r="I248" s="28" t="s">
        <v>731</v>
      </c>
      <c r="J248" s="29">
        <v>45814</v>
      </c>
      <c r="L248" s="29" t="s">
        <v>16</v>
      </c>
      <c r="M248" s="29" t="s">
        <v>245</v>
      </c>
    </row>
    <row r="249" spans="1:18" ht="30" customHeight="1">
      <c r="A249" s="28" t="s">
        <v>218</v>
      </c>
      <c r="B249" s="49" t="s">
        <v>7</v>
      </c>
      <c r="D249" s="28" t="s">
        <v>732</v>
      </c>
      <c r="H249" s="28" t="s">
        <v>610</v>
      </c>
      <c r="I249" s="28" t="s">
        <v>731</v>
      </c>
      <c r="J249" s="29">
        <v>45814</v>
      </c>
      <c r="L249" s="29" t="s">
        <v>16</v>
      </c>
      <c r="M249" s="29" t="s">
        <v>245</v>
      </c>
    </row>
    <row r="250" spans="1:18" ht="30" customHeight="1">
      <c r="A250" s="28" t="s">
        <v>217</v>
      </c>
      <c r="B250" s="49" t="s">
        <v>38</v>
      </c>
      <c r="D250" s="28" t="s">
        <v>733</v>
      </c>
      <c r="G250" s="28" t="s">
        <v>211</v>
      </c>
      <c r="H250" s="28" t="s">
        <v>734</v>
      </c>
      <c r="I250" s="28" t="s">
        <v>735</v>
      </c>
      <c r="J250" s="29">
        <v>45814</v>
      </c>
      <c r="L250" s="29" t="s">
        <v>320</v>
      </c>
      <c r="M250" s="29" t="s">
        <v>245</v>
      </c>
    </row>
    <row r="251" spans="1:18" ht="30" customHeight="1">
      <c r="A251" s="28" t="s">
        <v>218</v>
      </c>
      <c r="B251" s="49" t="s">
        <v>11</v>
      </c>
      <c r="D251" s="28" t="s">
        <v>736</v>
      </c>
      <c r="E251" s="28" t="s">
        <v>16</v>
      </c>
      <c r="G251" s="28" t="s">
        <v>211</v>
      </c>
      <c r="H251" s="28" t="s">
        <v>654</v>
      </c>
      <c r="I251" s="28" t="s">
        <v>737</v>
      </c>
      <c r="J251" s="29">
        <v>45814</v>
      </c>
      <c r="L251" s="29" t="s">
        <v>16</v>
      </c>
      <c r="M251" s="29" t="s">
        <v>245</v>
      </c>
      <c r="O251" s="50" t="s">
        <v>738</v>
      </c>
    </row>
    <row r="252" spans="1:18" ht="30" customHeight="1">
      <c r="A252" s="28" t="s">
        <v>218</v>
      </c>
      <c r="B252" s="49" t="s">
        <v>11</v>
      </c>
      <c r="D252" s="28" t="s">
        <v>739</v>
      </c>
      <c r="E252" s="28" t="s">
        <v>16</v>
      </c>
      <c r="G252" s="28" t="s">
        <v>211</v>
      </c>
      <c r="H252" s="28" t="s">
        <v>654</v>
      </c>
      <c r="I252" s="28" t="s">
        <v>737</v>
      </c>
      <c r="J252" s="29">
        <v>45814</v>
      </c>
      <c r="O252" s="50"/>
      <c r="R252" s="52"/>
    </row>
    <row r="253" spans="1:18" ht="30" customHeight="1">
      <c r="A253" s="28" t="s">
        <v>217</v>
      </c>
      <c r="B253" s="28" t="s">
        <v>24</v>
      </c>
      <c r="C253" s="28">
        <v>1083872455</v>
      </c>
      <c r="D253" s="28" t="s">
        <v>740</v>
      </c>
      <c r="H253" s="28" t="s">
        <v>741</v>
      </c>
      <c r="I253" s="28" t="s">
        <v>742</v>
      </c>
      <c r="J253" s="29">
        <v>45814</v>
      </c>
      <c r="L253" s="29" t="s">
        <v>10</v>
      </c>
      <c r="M253" s="29" t="s">
        <v>245</v>
      </c>
      <c r="O253" s="28" t="s">
        <v>743</v>
      </c>
    </row>
    <row r="254" spans="1:18" s="55" customFormat="1" ht="6" customHeight="1">
      <c r="A254" s="54"/>
      <c r="J254" s="56"/>
      <c r="K254" s="56"/>
      <c r="L254" s="56"/>
      <c r="M254" s="56"/>
      <c r="N254" s="56"/>
      <c r="R254" s="57"/>
    </row>
    <row r="255" spans="1:18" ht="36" customHeight="1">
      <c r="A255" s="28" t="s">
        <v>218</v>
      </c>
      <c r="B255" s="49" t="s">
        <v>7</v>
      </c>
      <c r="C255" s="28">
        <v>1233493322</v>
      </c>
      <c r="D255" s="49" t="s">
        <v>744</v>
      </c>
      <c r="E255" s="28" t="s">
        <v>8</v>
      </c>
      <c r="F255" s="28" t="s">
        <v>214</v>
      </c>
      <c r="G255" s="28" t="s">
        <v>211</v>
      </c>
      <c r="J255" s="29">
        <v>45817</v>
      </c>
      <c r="O255" s="28" t="s">
        <v>745</v>
      </c>
    </row>
    <row r="256" spans="1:18" ht="30" customHeight="1">
      <c r="A256" s="28" t="s">
        <v>217</v>
      </c>
      <c r="B256" s="28" t="s">
        <v>31</v>
      </c>
      <c r="C256" s="28">
        <v>1053804119</v>
      </c>
      <c r="D256" s="28" t="s">
        <v>746</v>
      </c>
      <c r="E256" s="28" t="s">
        <v>747</v>
      </c>
      <c r="F256" s="28" t="s">
        <v>748</v>
      </c>
      <c r="G256" s="28" t="s">
        <v>211</v>
      </c>
      <c r="H256" s="28" t="s">
        <v>554</v>
      </c>
      <c r="I256" s="28" t="s">
        <v>749</v>
      </c>
      <c r="J256" s="29">
        <v>45828</v>
      </c>
      <c r="P256" s="28" t="s">
        <v>245</v>
      </c>
      <c r="Q256" s="48">
        <v>0.14000000000000001</v>
      </c>
      <c r="R256" s="28" t="s">
        <v>245</v>
      </c>
    </row>
    <row r="257" spans="1:15" ht="30" customHeight="1">
      <c r="A257" s="28" t="s">
        <v>220</v>
      </c>
      <c r="B257" s="28" t="s">
        <v>162</v>
      </c>
      <c r="C257" s="28">
        <v>1039447159</v>
      </c>
      <c r="D257" s="28" t="s">
        <v>750</v>
      </c>
      <c r="H257" s="28" t="s">
        <v>751</v>
      </c>
      <c r="I257" s="28" t="s">
        <v>752</v>
      </c>
      <c r="J257" s="29">
        <v>45832</v>
      </c>
      <c r="K257" s="29" t="s">
        <v>326</v>
      </c>
      <c r="L257" s="29" t="s">
        <v>10</v>
      </c>
      <c r="M257" s="29" t="s">
        <v>245</v>
      </c>
      <c r="O257" s="28" t="s">
        <v>753</v>
      </c>
    </row>
    <row r="258" spans="1:15" ht="30" customHeight="1">
      <c r="A258" s="28" t="s">
        <v>220</v>
      </c>
      <c r="B258" s="28" t="s">
        <v>162</v>
      </c>
      <c r="C258" s="28">
        <v>75089573</v>
      </c>
      <c r="D258" s="28" t="s">
        <v>754</v>
      </c>
      <c r="H258" s="28" t="s">
        <v>755</v>
      </c>
      <c r="I258" s="28" t="s">
        <v>756</v>
      </c>
      <c r="J258" s="29">
        <v>45833</v>
      </c>
      <c r="L258" s="29" t="s">
        <v>10</v>
      </c>
      <c r="M258" s="29" t="s">
        <v>245</v>
      </c>
    </row>
    <row r="259" spans="1:15" ht="45" customHeight="1">
      <c r="A259" s="28" t="s">
        <v>220</v>
      </c>
      <c r="B259" s="28" t="s">
        <v>162</v>
      </c>
      <c r="C259" s="28">
        <v>25280441</v>
      </c>
      <c r="D259" s="28" t="s">
        <v>757</v>
      </c>
      <c r="H259" s="28" t="s">
        <v>758</v>
      </c>
      <c r="I259" s="28" t="s">
        <v>759</v>
      </c>
      <c r="J259" s="29">
        <v>45833</v>
      </c>
      <c r="K259" s="29" t="s">
        <v>326</v>
      </c>
      <c r="L259" s="29" t="s">
        <v>10</v>
      </c>
      <c r="M259" s="29" t="s">
        <v>245</v>
      </c>
      <c r="O259" s="49"/>
    </row>
    <row r="260" spans="1:15" ht="30" customHeight="1">
      <c r="A260" s="28" t="s">
        <v>220</v>
      </c>
      <c r="B260" s="49" t="s">
        <v>170</v>
      </c>
      <c r="D260" s="28" t="s">
        <v>760</v>
      </c>
      <c r="I260" s="28" t="s">
        <v>761</v>
      </c>
      <c r="J260" s="29">
        <v>45834</v>
      </c>
      <c r="L260" s="29" t="s">
        <v>10</v>
      </c>
      <c r="M260" s="29" t="s">
        <v>270</v>
      </c>
      <c r="O260" s="49" t="s">
        <v>762</v>
      </c>
    </row>
    <row r="261" spans="1:15" ht="30" customHeight="1">
      <c r="A261" s="28" t="s">
        <v>219</v>
      </c>
      <c r="B261" s="28" t="s">
        <v>17</v>
      </c>
      <c r="D261" t="s">
        <v>763</v>
      </c>
      <c r="H261" s="28" t="s">
        <v>764</v>
      </c>
      <c r="I261" s="28" t="s">
        <v>765</v>
      </c>
      <c r="J261" s="29">
        <v>45840</v>
      </c>
      <c r="L261" s="29" t="s">
        <v>16</v>
      </c>
      <c r="M261" s="29" t="s">
        <v>245</v>
      </c>
    </row>
    <row r="262" spans="1:15" ht="64.5" customHeight="1">
      <c r="A262" s="28" t="s">
        <v>217</v>
      </c>
      <c r="B262" s="49" t="s">
        <v>25</v>
      </c>
      <c r="D262" s="28" t="s">
        <v>766</v>
      </c>
      <c r="E262" s="28" t="s">
        <v>8</v>
      </c>
      <c r="H262" s="28" t="s">
        <v>767</v>
      </c>
      <c r="I262" s="28" t="s">
        <v>768</v>
      </c>
      <c r="J262" s="29">
        <v>45840</v>
      </c>
      <c r="L262" s="29" t="s">
        <v>16</v>
      </c>
      <c r="M262" s="29" t="s">
        <v>245</v>
      </c>
    </row>
    <row r="263" spans="1:15" ht="60.75" customHeight="1">
      <c r="A263" s="28" t="s">
        <v>220</v>
      </c>
      <c r="B263" s="49" t="s">
        <v>170</v>
      </c>
      <c r="D263" s="28" t="s">
        <v>769</v>
      </c>
      <c r="H263" s="28" t="s">
        <v>770</v>
      </c>
      <c r="I263" s="28" t="s">
        <v>771</v>
      </c>
      <c r="J263" s="29">
        <v>45840</v>
      </c>
      <c r="L263" s="29" t="s">
        <v>16</v>
      </c>
      <c r="M263" s="29" t="s">
        <v>270</v>
      </c>
      <c r="O263" s="49" t="s">
        <v>772</v>
      </c>
    </row>
    <row r="264" spans="1:15" ht="30" customHeight="1">
      <c r="A264" s="28" t="s">
        <v>220</v>
      </c>
      <c r="B264" s="49" t="s">
        <v>170</v>
      </c>
      <c r="D264" s="28" t="s">
        <v>773</v>
      </c>
      <c r="H264" s="28" t="s">
        <v>770</v>
      </c>
      <c r="I264" s="28" t="s">
        <v>771</v>
      </c>
      <c r="J264" s="29">
        <v>45840</v>
      </c>
      <c r="L264" s="29" t="s">
        <v>16</v>
      </c>
      <c r="M264" s="29" t="s">
        <v>270</v>
      </c>
      <c r="O264" s="49" t="s">
        <v>772</v>
      </c>
    </row>
    <row r="265" spans="1:15" ht="30" customHeight="1">
      <c r="A265" s="28" t="s">
        <v>220</v>
      </c>
      <c r="B265" s="28" t="s">
        <v>27</v>
      </c>
      <c r="C265">
        <v>67000371</v>
      </c>
      <c r="D265" t="s">
        <v>774</v>
      </c>
      <c r="E265" s="28" t="s">
        <v>10</v>
      </c>
      <c r="H265" t="s">
        <v>775</v>
      </c>
      <c r="I265" t="s">
        <v>776</v>
      </c>
      <c r="J265" s="29">
        <v>45842</v>
      </c>
      <c r="L265" s="29" t="s">
        <v>320</v>
      </c>
      <c r="M265" s="29" t="s">
        <v>245</v>
      </c>
    </row>
    <row r="266" spans="1:15" ht="30" customHeight="1">
      <c r="A266" s="28" t="s">
        <v>218</v>
      </c>
      <c r="B266" s="28" t="s">
        <v>7</v>
      </c>
      <c r="C266" s="28">
        <v>1096956688</v>
      </c>
      <c r="D266" s="28" t="s">
        <v>777</v>
      </c>
      <c r="E266" s="28" t="s">
        <v>778</v>
      </c>
      <c r="I266" t="s">
        <v>779</v>
      </c>
      <c r="J266" s="29">
        <v>45842</v>
      </c>
      <c r="L266" s="29" t="s">
        <v>320</v>
      </c>
      <c r="M266" s="29" t="s">
        <v>245</v>
      </c>
    </row>
    <row r="267" spans="1:15" ht="30" customHeight="1">
      <c r="A267" s="28" t="s">
        <v>218</v>
      </c>
      <c r="B267" s="28" t="s">
        <v>7</v>
      </c>
      <c r="C267">
        <v>1091675424</v>
      </c>
      <c r="D267" t="s">
        <v>780</v>
      </c>
      <c r="I267" t="s">
        <v>779</v>
      </c>
      <c r="J267" s="29">
        <v>45842</v>
      </c>
      <c r="L267" s="29" t="s">
        <v>320</v>
      </c>
      <c r="M267" s="29" t="s">
        <v>245</v>
      </c>
    </row>
    <row r="268" spans="1:15" ht="30" customHeight="1">
      <c r="A268" s="28" t="s">
        <v>218</v>
      </c>
      <c r="B268" s="28" t="s">
        <v>7</v>
      </c>
      <c r="C268" s="28">
        <v>1053858760</v>
      </c>
      <c r="D268" s="28" t="s">
        <v>781</v>
      </c>
      <c r="I268" t="s">
        <v>779</v>
      </c>
      <c r="J268" s="29">
        <v>45842</v>
      </c>
      <c r="L268" s="29" t="s">
        <v>320</v>
      </c>
      <c r="M268" s="29" t="s">
        <v>245</v>
      </c>
    </row>
    <row r="269" spans="1:15" ht="42.75" customHeight="1">
      <c r="A269" s="28" t="s">
        <v>217</v>
      </c>
      <c r="B269" s="28" t="s">
        <v>59</v>
      </c>
      <c r="D269" t="s">
        <v>782</v>
      </c>
      <c r="H269" t="s">
        <v>783</v>
      </c>
      <c r="I269" s="28" t="s">
        <v>784</v>
      </c>
      <c r="J269" s="29">
        <v>45842</v>
      </c>
      <c r="L269" s="29" t="s">
        <v>320</v>
      </c>
      <c r="M269" s="29" t="s">
        <v>245</v>
      </c>
    </row>
    <row r="270" spans="1:15" ht="42" customHeight="1">
      <c r="A270" s="49" t="s">
        <v>220</v>
      </c>
      <c r="B270" s="49" t="s">
        <v>162</v>
      </c>
      <c r="C270" s="28">
        <v>13742681</v>
      </c>
      <c r="D270" s="28" t="s">
        <v>785</v>
      </c>
      <c r="H270" s="49" t="s">
        <v>786</v>
      </c>
      <c r="I270" s="49" t="s">
        <v>787</v>
      </c>
      <c r="J270" s="29">
        <v>45842</v>
      </c>
      <c r="K270" s="29" t="s">
        <v>326</v>
      </c>
      <c r="L270" s="29" t="s">
        <v>320</v>
      </c>
      <c r="M270" s="29" t="s">
        <v>245</v>
      </c>
    </row>
    <row r="271" spans="1:15" ht="30" customHeight="1">
      <c r="A271" s="28" t="s">
        <v>217</v>
      </c>
      <c r="B271" s="28" t="s">
        <v>54</v>
      </c>
      <c r="C271" s="51">
        <v>1002593032</v>
      </c>
      <c r="D271" s="28" t="s">
        <v>788</v>
      </c>
      <c r="E271" s="28" t="s">
        <v>8</v>
      </c>
      <c r="H271" s="28" t="s">
        <v>789</v>
      </c>
      <c r="I271" t="s">
        <v>790</v>
      </c>
      <c r="J271" s="29">
        <v>45842</v>
      </c>
      <c r="L271" s="29" t="s">
        <v>8</v>
      </c>
      <c r="O271" s="28" t="s">
        <v>791</v>
      </c>
    </row>
    <row r="272" spans="1:15" ht="60" customHeight="1">
      <c r="A272" s="49" t="s">
        <v>218</v>
      </c>
      <c r="B272" s="49" t="s">
        <v>11</v>
      </c>
      <c r="C272" s="51">
        <v>71263931</v>
      </c>
      <c r="D272" s="49" t="s">
        <v>792</v>
      </c>
      <c r="H272" s="49" t="s">
        <v>793</v>
      </c>
      <c r="I272" s="49" t="s">
        <v>794</v>
      </c>
      <c r="J272" s="29">
        <v>45845</v>
      </c>
      <c r="K272" s="29" t="s">
        <v>326</v>
      </c>
      <c r="L272" s="29" t="s">
        <v>320</v>
      </c>
      <c r="N272" s="29" t="s">
        <v>245</v>
      </c>
      <c r="O272" s="49" t="s">
        <v>795</v>
      </c>
    </row>
    <row r="273" spans="1:15" ht="30" customHeight="1">
      <c r="A273" s="28" t="s">
        <v>217</v>
      </c>
      <c r="B273" s="49" t="s">
        <v>38</v>
      </c>
      <c r="D273" s="28" t="s">
        <v>796</v>
      </c>
      <c r="I273" t="s">
        <v>797</v>
      </c>
      <c r="J273" s="29">
        <v>45845</v>
      </c>
      <c r="L273" s="29" t="s">
        <v>320</v>
      </c>
      <c r="N273" s="29" t="s">
        <v>245</v>
      </c>
    </row>
    <row r="274" spans="1:15" ht="34.5" customHeight="1">
      <c r="A274" s="28" t="s">
        <v>217</v>
      </c>
      <c r="B274" s="28" t="s">
        <v>38</v>
      </c>
      <c r="D274" s="28" t="s">
        <v>798</v>
      </c>
      <c r="E274" s="28" t="s">
        <v>10</v>
      </c>
      <c r="F274" s="28" t="s">
        <v>214</v>
      </c>
      <c r="G274" s="28" t="s">
        <v>210</v>
      </c>
      <c r="H274" s="28" t="s">
        <v>799</v>
      </c>
      <c r="I274" s="28" t="s">
        <v>800</v>
      </c>
      <c r="J274" s="29">
        <v>45849</v>
      </c>
      <c r="L274" s="29" t="s">
        <v>16</v>
      </c>
      <c r="M274" s="29" t="s">
        <v>245</v>
      </c>
      <c r="O274" s="49"/>
    </row>
    <row r="275" spans="1:15" ht="30" customHeight="1">
      <c r="A275" s="28" t="s">
        <v>217</v>
      </c>
      <c r="B275" s="28" t="s">
        <v>25</v>
      </c>
      <c r="D275" s="28" t="s">
        <v>801</v>
      </c>
      <c r="H275" s="28" t="s">
        <v>802</v>
      </c>
      <c r="I275" s="28" t="s">
        <v>803</v>
      </c>
      <c r="J275" s="29">
        <v>45849</v>
      </c>
      <c r="L275" s="29" t="s">
        <v>16</v>
      </c>
      <c r="M275" s="29" t="s">
        <v>245</v>
      </c>
      <c r="N275" s="29" t="s">
        <v>245</v>
      </c>
    </row>
    <row r="276" spans="1:15" ht="30" customHeight="1">
      <c r="A276" s="28" t="s">
        <v>219</v>
      </c>
      <c r="B276" s="28" t="s">
        <v>9</v>
      </c>
      <c r="D276" s="28" t="s">
        <v>804</v>
      </c>
      <c r="E276" s="28" t="s">
        <v>16</v>
      </c>
      <c r="F276" s="28" t="s">
        <v>214</v>
      </c>
      <c r="G276" s="28" t="s">
        <v>211</v>
      </c>
      <c r="H276" s="28" t="s">
        <v>805</v>
      </c>
      <c r="I276" s="28" t="s">
        <v>806</v>
      </c>
      <c r="J276" s="29">
        <v>45859</v>
      </c>
      <c r="L276" s="29" t="s">
        <v>16</v>
      </c>
      <c r="M276" s="29" t="s">
        <v>245</v>
      </c>
      <c r="N276" s="29" t="s">
        <v>245</v>
      </c>
    </row>
    <row r="277" spans="1:15" ht="30" customHeight="1">
      <c r="A277" s="28" t="s">
        <v>220</v>
      </c>
      <c r="B277" s="28" t="s">
        <v>22</v>
      </c>
      <c r="C277" s="28">
        <v>43581352</v>
      </c>
      <c r="D277" s="28" t="s">
        <v>807</v>
      </c>
      <c r="E277" s="28" t="s">
        <v>10</v>
      </c>
      <c r="F277" s="28" t="s">
        <v>214</v>
      </c>
      <c r="H277" s="28" t="s">
        <v>808</v>
      </c>
      <c r="I277" s="28" t="s">
        <v>809</v>
      </c>
      <c r="J277" s="29">
        <v>45859</v>
      </c>
      <c r="L277" s="29" t="s">
        <v>10</v>
      </c>
      <c r="M277" s="29" t="s">
        <v>245</v>
      </c>
    </row>
    <row r="278" spans="1:15" ht="30" customHeight="1">
      <c r="A278" s="28" t="s">
        <v>218</v>
      </c>
      <c r="B278" s="28" t="s">
        <v>11</v>
      </c>
      <c r="C278">
        <v>1042763453</v>
      </c>
      <c r="D278" t="s">
        <v>810</v>
      </c>
      <c r="G278" s="28" t="s">
        <v>211</v>
      </c>
      <c r="H278" s="53" t="s">
        <v>811</v>
      </c>
      <c r="I278" t="s">
        <v>812</v>
      </c>
      <c r="J278" s="29">
        <v>45860</v>
      </c>
      <c r="K278" s="29" t="s">
        <v>312</v>
      </c>
      <c r="L278" s="29" t="s">
        <v>16</v>
      </c>
      <c r="M278" s="29" t="s">
        <v>245</v>
      </c>
      <c r="N278" s="29" t="s">
        <v>245</v>
      </c>
      <c r="O278" s="49"/>
    </row>
    <row r="279" spans="1:15" ht="30" customHeight="1">
      <c r="A279" s="28" t="s">
        <v>218</v>
      </c>
      <c r="B279" s="28" t="s">
        <v>11</v>
      </c>
      <c r="C279">
        <v>1070008983</v>
      </c>
      <c r="D279" s="28" t="s">
        <v>813</v>
      </c>
      <c r="G279" s="28" t="s">
        <v>211</v>
      </c>
      <c r="H279" s="53" t="s">
        <v>811</v>
      </c>
      <c r="I279" s="29" t="s">
        <v>812</v>
      </c>
      <c r="J279" s="29">
        <v>45860</v>
      </c>
      <c r="K279" s="29" t="s">
        <v>312</v>
      </c>
      <c r="L279" s="29" t="s">
        <v>16</v>
      </c>
      <c r="M279" s="29" t="s">
        <v>245</v>
      </c>
      <c r="N279" s="29" t="s">
        <v>245</v>
      </c>
      <c r="O279" s="49"/>
    </row>
    <row r="280" spans="1:15" ht="30" customHeight="1">
      <c r="A280" s="28" t="s">
        <v>218</v>
      </c>
      <c r="B280" s="28" t="s">
        <v>11</v>
      </c>
      <c r="C280">
        <v>6200169</v>
      </c>
      <c r="D280" t="s">
        <v>814</v>
      </c>
      <c r="G280" s="28" t="s">
        <v>211</v>
      </c>
      <c r="H280" s="53" t="s">
        <v>811</v>
      </c>
      <c r="I280" t="s">
        <v>812</v>
      </c>
      <c r="J280" s="29">
        <v>45860</v>
      </c>
      <c r="K280" s="29" t="s">
        <v>312</v>
      </c>
      <c r="L280" s="29" t="s">
        <v>16</v>
      </c>
      <c r="M280" s="29" t="s">
        <v>245</v>
      </c>
      <c r="N280" s="29" t="s">
        <v>245</v>
      </c>
      <c r="O280" s="49"/>
    </row>
    <row r="281" spans="1:15" ht="30" customHeight="1">
      <c r="A281" s="28" t="s">
        <v>219</v>
      </c>
      <c r="B281" s="28" t="s">
        <v>5</v>
      </c>
      <c r="D281" s="28" t="s">
        <v>815</v>
      </c>
      <c r="H281" s="28" t="s">
        <v>816</v>
      </c>
      <c r="I281" s="28" t="s">
        <v>817</v>
      </c>
      <c r="J281" s="29">
        <v>45861</v>
      </c>
      <c r="K281" s="29" t="s">
        <v>312</v>
      </c>
      <c r="L281" s="29" t="s">
        <v>16</v>
      </c>
      <c r="M281" s="29" t="s">
        <v>245</v>
      </c>
      <c r="N281" s="29" t="s">
        <v>245</v>
      </c>
    </row>
    <row r="282" spans="1:15" ht="30" customHeight="1">
      <c r="A282" s="28" t="s">
        <v>220</v>
      </c>
      <c r="B282" s="28" t="s">
        <v>171</v>
      </c>
      <c r="C282" s="28">
        <v>1020449824</v>
      </c>
      <c r="D282" s="28" t="s">
        <v>818</v>
      </c>
      <c r="E282" s="28" t="s">
        <v>10</v>
      </c>
      <c r="H282" s="28" t="s">
        <v>819</v>
      </c>
      <c r="I282" s="28" t="s">
        <v>820</v>
      </c>
      <c r="J282" s="29">
        <v>45862</v>
      </c>
      <c r="L282" s="29" t="s">
        <v>10</v>
      </c>
      <c r="M282" s="29" t="s">
        <v>245</v>
      </c>
      <c r="N282" s="29" t="s">
        <v>245</v>
      </c>
    </row>
    <row r="283" spans="1:15" ht="30" customHeight="1">
      <c r="A283" s="28" t="s">
        <v>220</v>
      </c>
      <c r="B283" s="28" t="s">
        <v>171</v>
      </c>
      <c r="C283" s="28">
        <v>1055918759</v>
      </c>
      <c r="D283" s="28" t="s">
        <v>821</v>
      </c>
      <c r="E283" s="28" t="s">
        <v>10</v>
      </c>
      <c r="H283" s="28" t="s">
        <v>819</v>
      </c>
      <c r="I283" s="28" t="s">
        <v>820</v>
      </c>
      <c r="J283" s="29">
        <v>45862</v>
      </c>
      <c r="L283" s="29" t="s">
        <v>10</v>
      </c>
      <c r="M283" s="29" t="s">
        <v>245</v>
      </c>
    </row>
    <row r="284" spans="1:15" ht="30" customHeight="1">
      <c r="A284" s="28" t="s">
        <v>220</v>
      </c>
      <c r="B284" s="28" t="s">
        <v>171</v>
      </c>
      <c r="C284" s="28">
        <v>24738604</v>
      </c>
      <c r="D284" s="28" t="s">
        <v>822</v>
      </c>
      <c r="E284" s="28" t="s">
        <v>10</v>
      </c>
      <c r="H284" s="28" t="s">
        <v>819</v>
      </c>
      <c r="I284" s="28" t="s">
        <v>820</v>
      </c>
      <c r="J284" s="29">
        <v>45862</v>
      </c>
      <c r="L284" s="29" t="s">
        <v>10</v>
      </c>
      <c r="M284" s="29" t="s">
        <v>245</v>
      </c>
      <c r="N284" s="29" t="s">
        <v>245</v>
      </c>
    </row>
    <row r="285" spans="1:15" ht="30" customHeight="1">
      <c r="A285" s="28" t="s">
        <v>220</v>
      </c>
      <c r="B285" s="28" t="s">
        <v>171</v>
      </c>
      <c r="C285" s="28">
        <v>1053841092</v>
      </c>
      <c r="D285" s="28" t="s">
        <v>823</v>
      </c>
      <c r="E285" s="28" t="s">
        <v>10</v>
      </c>
      <c r="H285" s="28" t="s">
        <v>819</v>
      </c>
      <c r="I285" s="28" t="s">
        <v>820</v>
      </c>
      <c r="J285" s="29">
        <v>45862</v>
      </c>
      <c r="L285" s="29" t="s">
        <v>10</v>
      </c>
      <c r="M285" s="29" t="s">
        <v>245</v>
      </c>
    </row>
    <row r="286" spans="1:15" ht="30" customHeight="1">
      <c r="A286" s="28" t="s">
        <v>220</v>
      </c>
      <c r="B286" s="28" t="s">
        <v>27</v>
      </c>
      <c r="C286" s="28">
        <v>16551412</v>
      </c>
      <c r="D286" s="28" t="s">
        <v>824</v>
      </c>
      <c r="H286" s="28" t="s">
        <v>825</v>
      </c>
      <c r="I286" s="28" t="s">
        <v>826</v>
      </c>
      <c r="J286" s="29">
        <v>45865</v>
      </c>
      <c r="L286" s="29" t="s">
        <v>10</v>
      </c>
      <c r="M286" s="29" t="s">
        <v>245</v>
      </c>
      <c r="N286" s="29" t="s">
        <v>245</v>
      </c>
    </row>
    <row r="287" spans="1:15" ht="30" customHeight="1">
      <c r="A287" s="28" t="s">
        <v>219</v>
      </c>
      <c r="B287" s="28" t="s">
        <v>9</v>
      </c>
      <c r="C287" s="35">
        <v>1053821114</v>
      </c>
      <c r="D287" s="28" t="s">
        <v>827</v>
      </c>
      <c r="E287" s="28" t="s">
        <v>8</v>
      </c>
      <c r="H287" s="28" t="s">
        <v>828</v>
      </c>
      <c r="I287" s="28" t="s">
        <v>829</v>
      </c>
      <c r="J287" s="29">
        <v>45868</v>
      </c>
      <c r="L287" s="29" t="s">
        <v>10</v>
      </c>
      <c r="M287" s="29" t="s">
        <v>245</v>
      </c>
      <c r="N287" s="29" t="s">
        <v>245</v>
      </c>
    </row>
    <row r="288" spans="1:15" ht="30" customHeight="1">
      <c r="A288" s="28" t="s">
        <v>219</v>
      </c>
      <c r="B288" s="28" t="s">
        <v>9</v>
      </c>
      <c r="C288" s="35">
        <v>16836536</v>
      </c>
      <c r="D288" s="28" t="s">
        <v>830</v>
      </c>
      <c r="E288" s="28" t="s">
        <v>8</v>
      </c>
      <c r="H288" s="28" t="s">
        <v>828</v>
      </c>
      <c r="I288" s="28" t="s">
        <v>829</v>
      </c>
      <c r="J288" s="29">
        <v>45868</v>
      </c>
      <c r="L288" s="29" t="s">
        <v>10</v>
      </c>
      <c r="M288" s="29" t="s">
        <v>245</v>
      </c>
    </row>
    <row r="289" spans="1:18" ht="30" customHeight="1">
      <c r="A289" s="28" t="s">
        <v>217</v>
      </c>
      <c r="B289" s="28" t="s">
        <v>21</v>
      </c>
      <c r="D289" s="28" t="s">
        <v>831</v>
      </c>
      <c r="E289" s="28" t="s">
        <v>16</v>
      </c>
      <c r="F289" s="28" t="s">
        <v>214</v>
      </c>
      <c r="G289" s="28" t="s">
        <v>211</v>
      </c>
      <c r="H289" s="28" t="s">
        <v>832</v>
      </c>
      <c r="I289" s="28" t="s">
        <v>833</v>
      </c>
      <c r="J289" s="29">
        <v>45874</v>
      </c>
      <c r="L289" s="29" t="s">
        <v>16</v>
      </c>
      <c r="M289" s="29" t="s">
        <v>245</v>
      </c>
      <c r="N289" s="29" t="s">
        <v>245</v>
      </c>
    </row>
    <row r="290" spans="1:18" ht="30" customHeight="1">
      <c r="A290" s="28" t="s">
        <v>220</v>
      </c>
      <c r="B290" s="49" t="s">
        <v>186</v>
      </c>
      <c r="C290" s="28">
        <v>1108207110</v>
      </c>
      <c r="D290" s="18" t="s">
        <v>834</v>
      </c>
      <c r="H290" s="28" t="s">
        <v>835</v>
      </c>
      <c r="I290" s="28" t="s">
        <v>836</v>
      </c>
      <c r="J290" s="29">
        <v>45874</v>
      </c>
      <c r="L290" s="29" t="s">
        <v>10</v>
      </c>
      <c r="M290" s="29" t="s">
        <v>245</v>
      </c>
      <c r="N290" s="29" t="s">
        <v>245</v>
      </c>
    </row>
    <row r="291" spans="1:18" ht="30" customHeight="1">
      <c r="A291" s="28" t="s">
        <v>217</v>
      </c>
      <c r="B291" s="28" t="s">
        <v>59</v>
      </c>
      <c r="C291" s="28">
        <v>1053845565</v>
      </c>
      <c r="D291" s="28" t="s">
        <v>837</v>
      </c>
      <c r="H291" s="28" t="s">
        <v>838</v>
      </c>
      <c r="I291" s="28" t="s">
        <v>839</v>
      </c>
      <c r="J291" s="29">
        <v>45875</v>
      </c>
      <c r="L291" s="29" t="s">
        <v>10</v>
      </c>
      <c r="M291" s="29" t="s">
        <v>245</v>
      </c>
      <c r="N291" s="29" t="s">
        <v>245</v>
      </c>
    </row>
    <row r="292" spans="1:18" ht="30" customHeight="1">
      <c r="A292" s="28" t="s">
        <v>217</v>
      </c>
      <c r="B292" s="28" t="s">
        <v>38</v>
      </c>
      <c r="C292" s="28">
        <v>1007234747</v>
      </c>
      <c r="D292" s="28" t="s">
        <v>840</v>
      </c>
      <c r="H292" s="28" t="s">
        <v>841</v>
      </c>
      <c r="I292" s="28" t="s">
        <v>842</v>
      </c>
      <c r="J292" s="29">
        <v>45877</v>
      </c>
      <c r="L292" s="29" t="s">
        <v>10</v>
      </c>
      <c r="M292" s="29" t="s">
        <v>245</v>
      </c>
      <c r="N292" s="29" t="s">
        <v>245</v>
      </c>
    </row>
    <row r="293" spans="1:18" ht="30" customHeight="1">
      <c r="A293" s="28" t="s">
        <v>217</v>
      </c>
      <c r="B293" s="28" t="s">
        <v>21</v>
      </c>
      <c r="C293" s="28">
        <v>14473835</v>
      </c>
      <c r="D293" s="28" t="s">
        <v>843</v>
      </c>
      <c r="H293" s="28" t="s">
        <v>844</v>
      </c>
      <c r="I293" s="28" t="s">
        <v>845</v>
      </c>
      <c r="J293" s="29">
        <v>45880</v>
      </c>
      <c r="L293" s="29" t="s">
        <v>10</v>
      </c>
      <c r="M293" s="29" t="s">
        <v>245</v>
      </c>
      <c r="N293" s="29" t="s">
        <v>245</v>
      </c>
    </row>
    <row r="294" spans="1:18" ht="30" customHeight="1">
      <c r="A294" s="28" t="s">
        <v>220</v>
      </c>
      <c r="B294" s="49" t="s">
        <v>186</v>
      </c>
      <c r="D294" s="28" t="s">
        <v>846</v>
      </c>
      <c r="H294" s="28" t="s">
        <v>847</v>
      </c>
      <c r="I294" s="28" t="s">
        <v>848</v>
      </c>
      <c r="J294" s="29">
        <v>45880</v>
      </c>
      <c r="L294" s="29" t="s">
        <v>10</v>
      </c>
      <c r="M294" s="29" t="s">
        <v>245</v>
      </c>
      <c r="N294" s="29" t="s">
        <v>245</v>
      </c>
    </row>
    <row r="295" spans="1:18" ht="30" customHeight="1">
      <c r="A295" s="28" t="s">
        <v>217</v>
      </c>
      <c r="B295" s="28" t="s">
        <v>21</v>
      </c>
      <c r="C295" s="28">
        <v>27090260</v>
      </c>
      <c r="D295" s="28" t="s">
        <v>849</v>
      </c>
      <c r="H295" s="28" t="s">
        <v>850</v>
      </c>
      <c r="I295" s="28" t="s">
        <v>851</v>
      </c>
      <c r="J295" s="29">
        <v>45881</v>
      </c>
      <c r="L295" s="29" t="s">
        <v>10</v>
      </c>
      <c r="M295" s="29" t="s">
        <v>245</v>
      </c>
      <c r="N295" s="29" t="s">
        <v>245</v>
      </c>
    </row>
    <row r="296" spans="1:18" ht="30" customHeight="1">
      <c r="A296" s="28" t="s">
        <v>220</v>
      </c>
      <c r="B296" s="28" t="s">
        <v>23</v>
      </c>
      <c r="C296" s="28">
        <v>17691396</v>
      </c>
      <c r="D296" s="28" t="s">
        <v>852</v>
      </c>
      <c r="H296" s="28" t="s">
        <v>853</v>
      </c>
      <c r="I296" s="28" t="s">
        <v>854</v>
      </c>
      <c r="J296" s="29">
        <v>45881</v>
      </c>
      <c r="L296" s="29" t="s">
        <v>10</v>
      </c>
      <c r="M296" s="29" t="s">
        <v>245</v>
      </c>
      <c r="N296" s="29" t="s">
        <v>245</v>
      </c>
    </row>
    <row r="297" spans="1:18" ht="30" customHeight="1">
      <c r="A297" s="28" t="s">
        <v>220</v>
      </c>
      <c r="B297" s="28" t="s">
        <v>23</v>
      </c>
      <c r="C297" s="28">
        <v>9397301</v>
      </c>
      <c r="D297" s="28" t="s">
        <v>855</v>
      </c>
      <c r="H297" s="28" t="s">
        <v>853</v>
      </c>
      <c r="I297" s="28" t="s">
        <v>854</v>
      </c>
      <c r="J297" s="29">
        <v>45881</v>
      </c>
      <c r="L297" s="29" t="s">
        <v>10</v>
      </c>
      <c r="M297" s="29" t="s">
        <v>245</v>
      </c>
      <c r="N297" s="29" t="s">
        <v>245</v>
      </c>
    </row>
    <row r="298" spans="1:18" ht="30" customHeight="1">
      <c r="A298" s="28" t="s">
        <v>217</v>
      </c>
      <c r="B298" s="28" t="s">
        <v>24</v>
      </c>
      <c r="C298" s="28">
        <v>1075209791</v>
      </c>
      <c r="D298" s="28" t="s">
        <v>856</v>
      </c>
      <c r="H298" s="28" t="s">
        <v>393</v>
      </c>
      <c r="I298" s="28" t="s">
        <v>857</v>
      </c>
      <c r="J298" s="29">
        <v>45882</v>
      </c>
      <c r="L298" s="29" t="s">
        <v>10</v>
      </c>
      <c r="M298" s="29" t="s">
        <v>245</v>
      </c>
      <c r="N298" s="29" t="s">
        <v>245</v>
      </c>
    </row>
    <row r="299" spans="1:18" ht="30" customHeight="1">
      <c r="A299" s="28" t="s">
        <v>218</v>
      </c>
      <c r="B299" s="28" t="s">
        <v>41</v>
      </c>
      <c r="C299" s="28">
        <v>10538568100</v>
      </c>
      <c r="D299" s="28" t="s">
        <v>858</v>
      </c>
      <c r="E299" s="28" t="s">
        <v>747</v>
      </c>
      <c r="F299" s="28" t="s">
        <v>748</v>
      </c>
      <c r="G299" s="28" t="s">
        <v>211</v>
      </c>
      <c r="H299" s="28" t="s">
        <v>859</v>
      </c>
      <c r="I299" s="28" t="s">
        <v>860</v>
      </c>
      <c r="J299" s="29">
        <v>45882</v>
      </c>
      <c r="P299" s="28" t="s">
        <v>245</v>
      </c>
      <c r="Q299" s="48">
        <v>0.14000000000000001</v>
      </c>
      <c r="R299" s="28" t="s">
        <v>245</v>
      </c>
    </row>
  </sheetData>
  <phoneticPr fontId="3" type="noConversion"/>
  <dataValidations count="6">
    <dataValidation type="list" allowBlank="1" showInputMessage="1" showErrorMessage="1" sqref="A1" xr:uid="{CD33EDC8-CE64-43BE-ADB6-09C7EF2B00CC}">
      <formula1>#REF!</formula1>
    </dataValidation>
    <dataValidation type="list" allowBlank="1" showDropDown="1" showInputMessage="1" showErrorMessage="1" sqref="B1" xr:uid="{A519372D-53D9-45E2-BA03-CCBBF8320849}">
      <formula1>INDIRECT($A$2)</formula1>
    </dataValidation>
    <dataValidation type="date" allowBlank="1" showInputMessage="1" showErrorMessage="1" sqref="O4" xr:uid="{FCF79E78-C7C4-4D73-8F51-132423C183B4}">
      <formula1>45658</formula1>
      <formula2>47848</formula2>
    </dataValidation>
    <dataValidation allowBlank="1" showInputMessage="1" showErrorMessage="1" sqref="H89:I91 H650:I1048576 I1:I8 H1:H42 I26:I42" xr:uid="{5734640C-10C9-4399-8F47-EA1ADEB47021}"/>
    <dataValidation type="list" allowBlank="1" showInputMessage="1" showErrorMessage="1" sqref="B64:B68 B650:B789 B75 B2:B60 B82:B632" xr:uid="{4F2BEED3-F7F1-40E3-B163-52CEDE1445BA}">
      <formula1>INDIRECT(A2)</formula1>
    </dataValidation>
    <dataValidation type="list" allowBlank="1" showInputMessage="1" showErrorMessage="1" sqref="B78:B80" xr:uid="{5FA41360-587D-4A3E-8740-DC06338E069F}">
      <formula1>INDIRECT(A77)</formula1>
    </dataValidation>
  </dataValidations>
  <pageMargins left="0.7" right="0.7" top="0.75" bottom="0.75" header="0.3" footer="0.3"/>
  <pageSetup paperSize="9" orientation="portrait" r:id="rId1"/>
  <ignoredErrors>
    <ignoredError sqref="A1:B1 D1:E1" listDataValidation="1"/>
  </ignoredErrors>
  <drawing r:id="rId2"/>
  <tableParts count="1">
    <tablePart r:id="rId3"/>
  </tableParts>
  <extLst>
    <ext xmlns:x14="http://schemas.microsoft.com/office/spreadsheetml/2009/9/main" uri="{CCE6A557-97BC-4b89-ADB6-D9C93CAAB3DF}">
      <x14:dataValidations xmlns:xm="http://schemas.microsoft.com/office/excel/2006/main" count="8">
        <x14:dataValidation type="list" allowBlank="1" showInputMessage="1" showErrorMessage="1" xr:uid="{163F14FF-2A22-4B14-BC5E-F3F94003B002}">
          <x14:formula1>
            <xm:f>Insumo_Listas_Desplegables!$H:$H</xm:f>
          </x14:formula1>
          <xm:sqref>E652 E155:E164 H96 E2:E153 E166:E295 E297:E647</xm:sqref>
        </x14:dataValidation>
        <x14:dataValidation type="list" allowBlank="1" showInputMessage="1" showErrorMessage="1" xr:uid="{02E1B391-774F-4053-A87E-3CCE7FC7DD5B}">
          <x14:formula1>
            <xm:f>Insumo_Listas_Desplegables!$L:$L</xm:f>
          </x14:formula1>
          <xm:sqref>H97:H100 F2:F95 F101:F647</xm:sqref>
        </x14:dataValidation>
        <x14:dataValidation type="list" allowBlank="1" showInputMessage="1" showErrorMessage="1" xr:uid="{B5015208-F109-460B-B813-5C375712A332}">
          <x14:formula1>
            <xm:f>Insumo_Listas_Desplegables!$A$1:$E$1</xm:f>
          </x14:formula1>
          <xm:sqref>A65:A68 A75 A650:A789 A2:A60 A82:A647</xm:sqref>
        </x14:dataValidation>
        <x14:dataValidation type="list" allowBlank="1" showInputMessage="1" showErrorMessage="1" xr:uid="{8071BFCA-75FC-4E9B-954A-D6CAA840B66E}">
          <x14:formula1>
            <xm:f>Insumo_Listas_Desplegables!$N$2:$N$4</xm:f>
          </x14:formula1>
          <xm:sqref>R1:R1048576 M1:M1048576</xm:sqref>
        </x14:dataValidation>
        <x14:dataValidation type="list" allowBlank="1" showInputMessage="1" showErrorMessage="1" xr:uid="{F4E2E25C-869A-4F66-908A-A6E16B22AC00}">
          <x14:formula1>
            <xm:f>Insumo_Listas_Desplegables!$J$2:$J$3</xm:f>
          </x14:formula1>
          <xm:sqref>G2:G647</xm:sqref>
        </x14:dataValidation>
        <x14:dataValidation type="list" allowBlank="1" showInputMessage="1" showErrorMessage="1" xr:uid="{B4DC9641-1E56-491B-AB87-09F65186DAA4}">
          <x14:formula1>
            <xm:f>Insumo_Listas_Desplegables!$P$2:$P$4</xm:f>
          </x14:formula1>
          <xm:sqref>P1:P1048576 N1:N1048576</xm:sqref>
        </x14:dataValidation>
        <x14:dataValidation type="list" allowBlank="1" showInputMessage="1" showErrorMessage="1" xr:uid="{D6B70F9D-67AD-4830-8FAF-C980B5371631}">
          <x14:formula1>
            <xm:f>Insumo_Listas_Desplegables!$R$2:$R$4</xm:f>
          </x14:formula1>
          <xm:sqref>K1:K1048576</xm:sqref>
        </x14:dataValidation>
        <x14:dataValidation type="list" allowBlank="1" showInputMessage="1" showErrorMessage="1" xr:uid="{08B76745-8F57-40E5-89F0-3445F360636A}">
          <x14:formula1>
            <xm:f>Insumo_Listas_Desplegables!$T$2:$T$6</xm:f>
          </x14:formula1>
          <xm:sqref>L1:L1048576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017F5-F31C-41F8-BB84-1D98C36AE78F}">
  <sheetPr codeName="Hoja2"/>
  <dimension ref="A1:T41"/>
  <sheetViews>
    <sheetView topLeftCell="L1" workbookViewId="0">
      <selection activeCell="O9" sqref="O9"/>
    </sheetView>
  </sheetViews>
  <sheetFormatPr defaultColWidth="11.42578125" defaultRowHeight="15"/>
  <cols>
    <col min="1" max="1" width="75.42578125" customWidth="1"/>
    <col min="2" max="2" width="32.85546875" customWidth="1"/>
    <col min="3" max="3" width="68.140625" customWidth="1"/>
    <col min="4" max="4" width="39.85546875" customWidth="1"/>
    <col min="5" max="5" width="65.42578125" customWidth="1"/>
    <col min="8" max="8" width="31.85546875" customWidth="1"/>
    <col min="10" max="10" width="23.7109375" customWidth="1"/>
    <col min="12" max="12" width="71.28515625" customWidth="1"/>
    <col min="14" max="14" width="18.42578125" customWidth="1"/>
    <col min="16" max="18" width="22.7109375" customWidth="1"/>
    <col min="20" max="20" width="26.42578125" customWidth="1"/>
  </cols>
  <sheetData>
    <row r="1" spans="1:20">
      <c r="A1" s="1" t="s">
        <v>217</v>
      </c>
      <c r="B1" s="2" t="s">
        <v>861</v>
      </c>
      <c r="C1" s="2" t="s">
        <v>218</v>
      </c>
      <c r="D1" s="2" t="s">
        <v>219</v>
      </c>
      <c r="E1" s="3" t="s">
        <v>220</v>
      </c>
      <c r="H1" t="s">
        <v>224</v>
      </c>
      <c r="J1" t="s">
        <v>862</v>
      </c>
      <c r="L1" t="s">
        <v>225</v>
      </c>
      <c r="N1" s="23" t="s">
        <v>863</v>
      </c>
      <c r="P1" s="23" t="s">
        <v>235</v>
      </c>
      <c r="R1" s="26" t="s">
        <v>230</v>
      </c>
      <c r="T1" s="26" t="s">
        <v>864</v>
      </c>
    </row>
    <row r="2" spans="1:20" ht="20.25" customHeight="1">
      <c r="A2" s="4" t="s">
        <v>54</v>
      </c>
      <c r="B2" s="5" t="s">
        <v>108</v>
      </c>
      <c r="C2" s="5" t="s">
        <v>7</v>
      </c>
      <c r="D2" s="5" t="s">
        <v>158</v>
      </c>
      <c r="E2" s="6" t="s">
        <v>865</v>
      </c>
      <c r="H2" t="s">
        <v>16</v>
      </c>
      <c r="J2" t="s">
        <v>211</v>
      </c>
      <c r="L2" s="10" t="s">
        <v>239</v>
      </c>
      <c r="N2" s="5" t="s">
        <v>245</v>
      </c>
      <c r="P2" s="5" t="s">
        <v>245</v>
      </c>
      <c r="R2" t="s">
        <v>326</v>
      </c>
      <c r="T2" s="24" t="s">
        <v>16</v>
      </c>
    </row>
    <row r="3" spans="1:20">
      <c r="A3" s="4" t="s">
        <v>55</v>
      </c>
      <c r="B3" s="5" t="s">
        <v>110</v>
      </c>
      <c r="C3" s="5" t="s">
        <v>30</v>
      </c>
      <c r="D3" s="5" t="s">
        <v>5</v>
      </c>
      <c r="E3" s="6" t="s">
        <v>27</v>
      </c>
      <c r="H3" t="s">
        <v>10</v>
      </c>
      <c r="J3" t="s">
        <v>210</v>
      </c>
      <c r="L3" s="10" t="s">
        <v>866</v>
      </c>
      <c r="N3" s="5" t="s">
        <v>270</v>
      </c>
      <c r="P3" s="5" t="s">
        <v>270</v>
      </c>
      <c r="R3" t="s">
        <v>312</v>
      </c>
      <c r="T3" s="25" t="s">
        <v>10</v>
      </c>
    </row>
    <row r="4" spans="1:20" ht="30">
      <c r="A4" s="4" t="s">
        <v>56</v>
      </c>
      <c r="B4" s="5" t="s">
        <v>112</v>
      </c>
      <c r="C4" s="5" t="s">
        <v>116</v>
      </c>
      <c r="D4" s="5" t="s">
        <v>145</v>
      </c>
      <c r="E4" s="6" t="s">
        <v>160</v>
      </c>
      <c r="H4" t="s">
        <v>8</v>
      </c>
      <c r="L4" s="10" t="s">
        <v>867</v>
      </c>
      <c r="N4" s="5" t="s">
        <v>868</v>
      </c>
      <c r="P4" s="5" t="s">
        <v>868</v>
      </c>
      <c r="R4" t="s">
        <v>869</v>
      </c>
      <c r="T4" s="24" t="s">
        <v>8</v>
      </c>
    </row>
    <row r="5" spans="1:20">
      <c r="A5" s="4" t="s">
        <v>32</v>
      </c>
      <c r="B5" s="5" t="s">
        <v>113</v>
      </c>
      <c r="C5" s="5" t="s">
        <v>117</v>
      </c>
      <c r="D5" s="5" t="s">
        <v>147</v>
      </c>
      <c r="E5" s="6" t="s">
        <v>162</v>
      </c>
      <c r="H5" t="s">
        <v>778</v>
      </c>
      <c r="L5" s="10" t="s">
        <v>216</v>
      </c>
      <c r="T5" t="s">
        <v>320</v>
      </c>
    </row>
    <row r="6" spans="1:20" ht="29.25" customHeight="1">
      <c r="A6" s="4" t="s">
        <v>57</v>
      </c>
      <c r="B6" s="5" t="s">
        <v>114</v>
      </c>
      <c r="C6" s="5" t="s">
        <v>26</v>
      </c>
      <c r="D6" s="5" t="s">
        <v>149</v>
      </c>
      <c r="E6" s="6" t="s">
        <v>164</v>
      </c>
      <c r="H6" t="s">
        <v>6</v>
      </c>
      <c r="L6" s="10" t="s">
        <v>748</v>
      </c>
      <c r="T6" t="s">
        <v>870</v>
      </c>
    </row>
    <row r="7" spans="1:20">
      <c r="A7" s="4" t="s">
        <v>59</v>
      </c>
      <c r="B7" s="5"/>
      <c r="C7" s="5" t="s">
        <v>118</v>
      </c>
      <c r="D7" s="5" t="s">
        <v>150</v>
      </c>
      <c r="E7" s="6" t="s">
        <v>166</v>
      </c>
      <c r="H7" t="s">
        <v>12</v>
      </c>
      <c r="L7" s="10"/>
    </row>
    <row r="8" spans="1:20">
      <c r="A8" s="4" t="s">
        <v>21</v>
      </c>
      <c r="B8" s="5"/>
      <c r="C8" s="5" t="s">
        <v>119</v>
      </c>
      <c r="D8" s="5" t="s">
        <v>152</v>
      </c>
      <c r="E8" s="6" t="s">
        <v>168</v>
      </c>
      <c r="H8" t="s">
        <v>747</v>
      </c>
    </row>
    <row r="9" spans="1:20">
      <c r="A9" s="4" t="s">
        <v>61</v>
      </c>
      <c r="B9" s="5"/>
      <c r="C9" s="5" t="s">
        <v>120</v>
      </c>
      <c r="D9" s="5" t="s">
        <v>17</v>
      </c>
      <c r="E9" s="6" t="s">
        <v>170</v>
      </c>
    </row>
    <row r="10" spans="1:20">
      <c r="A10" s="4" t="s">
        <v>62</v>
      </c>
      <c r="B10" s="5"/>
      <c r="C10" s="5" t="s">
        <v>121</v>
      </c>
      <c r="D10" s="5" t="s">
        <v>155</v>
      </c>
      <c r="E10" s="6" t="s">
        <v>39</v>
      </c>
    </row>
    <row r="11" spans="1:20">
      <c r="A11" s="4" t="s">
        <v>64</v>
      </c>
      <c r="B11" s="5"/>
      <c r="C11" s="5" t="s">
        <v>122</v>
      </c>
      <c r="D11" s="5" t="s">
        <v>9</v>
      </c>
      <c r="E11" s="6" t="s">
        <v>171</v>
      </c>
    </row>
    <row r="12" spans="1:20">
      <c r="A12" s="4" t="s">
        <v>65</v>
      </c>
      <c r="B12" s="5"/>
      <c r="C12" s="5" t="s">
        <v>41</v>
      </c>
      <c r="D12" s="5" t="s">
        <v>158</v>
      </c>
      <c r="E12" s="6" t="s">
        <v>173</v>
      </c>
    </row>
    <row r="13" spans="1:20">
      <c r="A13" s="4" t="s">
        <v>66</v>
      </c>
      <c r="B13" s="5"/>
      <c r="C13" s="5" t="s">
        <v>123</v>
      </c>
      <c r="D13" s="5"/>
      <c r="E13" s="6" t="s">
        <v>175</v>
      </c>
    </row>
    <row r="14" spans="1:20">
      <c r="A14" s="4" t="s">
        <v>68</v>
      </c>
      <c r="B14" s="5"/>
      <c r="C14" s="5" t="s">
        <v>40</v>
      </c>
      <c r="D14" s="5"/>
      <c r="E14" s="6" t="s">
        <v>177</v>
      </c>
    </row>
    <row r="15" spans="1:20">
      <c r="A15" s="4" t="s">
        <v>70</v>
      </c>
      <c r="B15" s="5"/>
      <c r="C15" s="5" t="s">
        <v>11</v>
      </c>
      <c r="D15" s="5"/>
      <c r="E15" s="6" t="s">
        <v>179</v>
      </c>
    </row>
    <row r="16" spans="1:20">
      <c r="A16" s="4" t="s">
        <v>72</v>
      </c>
      <c r="B16" s="5"/>
      <c r="C16" s="5" t="s">
        <v>15</v>
      </c>
      <c r="D16" s="5"/>
      <c r="E16" s="6" t="s">
        <v>19</v>
      </c>
    </row>
    <row r="17" spans="1:5">
      <c r="A17" s="4" t="s">
        <v>73</v>
      </c>
      <c r="B17" s="5"/>
      <c r="C17" s="5" t="s">
        <v>128</v>
      </c>
      <c r="D17" s="5"/>
      <c r="E17" s="6" t="s">
        <v>22</v>
      </c>
    </row>
    <row r="18" spans="1:5">
      <c r="A18" s="4" t="s">
        <v>75</v>
      </c>
      <c r="B18" s="5"/>
      <c r="C18" s="5" t="s">
        <v>130</v>
      </c>
      <c r="D18" s="5"/>
      <c r="E18" s="6" t="s">
        <v>23</v>
      </c>
    </row>
    <row r="19" spans="1:5">
      <c r="A19" s="4" t="s">
        <v>42</v>
      </c>
      <c r="B19" s="5"/>
      <c r="C19" s="5" t="s">
        <v>132</v>
      </c>
      <c r="D19" s="5"/>
      <c r="E19" s="6" t="s">
        <v>183</v>
      </c>
    </row>
    <row r="20" spans="1:5">
      <c r="A20" s="4" t="s">
        <v>76</v>
      </c>
      <c r="B20" s="5"/>
      <c r="C20" s="5" t="s">
        <v>134</v>
      </c>
      <c r="D20" s="5"/>
      <c r="E20" s="6" t="s">
        <v>184</v>
      </c>
    </row>
    <row r="21" spans="1:5">
      <c r="A21" s="4" t="s">
        <v>38</v>
      </c>
      <c r="B21" s="5"/>
      <c r="C21" s="5" t="s">
        <v>136</v>
      </c>
      <c r="D21" s="5"/>
      <c r="E21" s="6" t="s">
        <v>185</v>
      </c>
    </row>
    <row r="22" spans="1:5">
      <c r="A22" s="4" t="s">
        <v>25</v>
      </c>
      <c r="B22" s="5"/>
      <c r="C22" s="5" t="s">
        <v>138</v>
      </c>
      <c r="D22" s="5"/>
      <c r="E22" s="6" t="s">
        <v>186</v>
      </c>
    </row>
    <row r="23" spans="1:5">
      <c r="A23" s="4" t="s">
        <v>79</v>
      </c>
      <c r="B23" s="5"/>
      <c r="C23" s="5" t="s">
        <v>140</v>
      </c>
      <c r="D23" s="5"/>
      <c r="E23" s="6" t="s">
        <v>13</v>
      </c>
    </row>
    <row r="24" spans="1:5">
      <c r="A24" s="4" t="s">
        <v>31</v>
      </c>
      <c r="B24" s="5"/>
      <c r="C24" s="5" t="s">
        <v>141</v>
      </c>
      <c r="D24" s="5"/>
      <c r="E24" s="6" t="s">
        <v>33</v>
      </c>
    </row>
    <row r="25" spans="1:5">
      <c r="A25" s="4" t="s">
        <v>36</v>
      </c>
      <c r="B25" s="5"/>
      <c r="C25" s="5"/>
      <c r="D25" s="5"/>
      <c r="E25" s="6" t="s">
        <v>189</v>
      </c>
    </row>
    <row r="26" spans="1:5">
      <c r="A26" s="4" t="s">
        <v>24</v>
      </c>
      <c r="B26" s="5"/>
      <c r="C26" s="5"/>
      <c r="D26" s="5"/>
      <c r="E26" s="6" t="s">
        <v>191</v>
      </c>
    </row>
    <row r="27" spans="1:5">
      <c r="A27" s="4" t="s">
        <v>20</v>
      </c>
      <c r="B27" s="5"/>
      <c r="C27" s="5"/>
      <c r="D27" s="5"/>
      <c r="E27" s="6" t="s">
        <v>193</v>
      </c>
    </row>
    <row r="28" spans="1:5">
      <c r="A28" s="4" t="s">
        <v>83</v>
      </c>
      <c r="B28" s="5"/>
      <c r="C28" s="5"/>
      <c r="D28" s="5"/>
      <c r="E28" s="6" t="s">
        <v>194</v>
      </c>
    </row>
    <row r="29" spans="1:5">
      <c r="A29" s="4" t="s">
        <v>37</v>
      </c>
      <c r="B29" s="5"/>
      <c r="C29" s="5"/>
      <c r="D29" s="5"/>
      <c r="E29" s="6"/>
    </row>
    <row r="30" spans="1:5">
      <c r="A30" s="4" t="s">
        <v>84</v>
      </c>
      <c r="B30" s="5"/>
      <c r="C30" s="5"/>
      <c r="D30" s="5"/>
      <c r="E30" s="6"/>
    </row>
    <row r="31" spans="1:5">
      <c r="A31" s="4" t="s">
        <v>86</v>
      </c>
      <c r="B31" s="5"/>
      <c r="C31" s="5"/>
      <c r="D31" s="5"/>
      <c r="E31" s="6"/>
    </row>
    <row r="32" spans="1:5">
      <c r="A32" s="4" t="s">
        <v>88</v>
      </c>
      <c r="B32" s="5"/>
      <c r="C32" s="5"/>
      <c r="D32" s="5"/>
      <c r="E32" s="6"/>
    </row>
    <row r="33" spans="1:5">
      <c r="A33" s="4" t="s">
        <v>90</v>
      </c>
      <c r="B33" s="5"/>
      <c r="C33" s="5"/>
      <c r="D33" s="5"/>
      <c r="E33" s="6"/>
    </row>
    <row r="34" spans="1:5">
      <c r="A34" s="4" t="s">
        <v>92</v>
      </c>
      <c r="B34" s="5"/>
      <c r="C34" s="5"/>
      <c r="D34" s="5"/>
      <c r="E34" s="6"/>
    </row>
    <row r="35" spans="1:5">
      <c r="A35" s="4" t="s">
        <v>94</v>
      </c>
      <c r="B35" s="5"/>
      <c r="C35" s="5"/>
      <c r="D35" s="5"/>
      <c r="E35" s="6"/>
    </row>
    <row r="36" spans="1:5">
      <c r="A36" s="4" t="s">
        <v>96</v>
      </c>
      <c r="B36" s="5"/>
      <c r="C36" s="5"/>
      <c r="D36" s="5"/>
      <c r="E36" s="6"/>
    </row>
    <row r="37" spans="1:5">
      <c r="A37" s="4" t="s">
        <v>98</v>
      </c>
      <c r="B37" s="5"/>
      <c r="C37" s="5"/>
      <c r="D37" s="5"/>
      <c r="E37" s="6"/>
    </row>
    <row r="38" spans="1:5">
      <c r="A38" s="4" t="s">
        <v>100</v>
      </c>
      <c r="B38" s="5"/>
      <c r="C38" s="5"/>
      <c r="D38" s="5"/>
      <c r="E38" s="6"/>
    </row>
    <row r="39" spans="1:5">
      <c r="A39" s="4" t="s">
        <v>102</v>
      </c>
      <c r="B39" s="5"/>
      <c r="C39" s="5"/>
      <c r="D39" s="5"/>
      <c r="E39" s="6"/>
    </row>
    <row r="40" spans="1:5">
      <c r="A40" s="4" t="s">
        <v>104</v>
      </c>
      <c r="B40" s="5"/>
      <c r="C40" s="5"/>
      <c r="D40" s="5"/>
      <c r="E40" s="6"/>
    </row>
    <row r="41" spans="1:5">
      <c r="A41" s="7" t="s">
        <v>106</v>
      </c>
      <c r="B41" s="8"/>
      <c r="C41" s="8"/>
      <c r="D41" s="8"/>
      <c r="E41" s="9"/>
    </row>
  </sheetData>
  <dataValidations count="2">
    <dataValidation allowBlank="1" showInputMessage="1" showErrorMessage="1" sqref="P2:Q3 N2:N4 R1:R1048576" xr:uid="{71EAB22B-08FF-40E8-A44B-01FD50F41679}"/>
    <dataValidation type="list" allowBlank="1" showInputMessage="1" showErrorMessage="1" sqref="P14" xr:uid="{0F0C0BB5-52A5-400D-9A1A-FF6E82FFC45C}">
      <formula1>$N$2:$N$4</formula1>
    </dataValidation>
  </dataValidations>
  <pageMargins left="0.7" right="0.7" top="0.75" bottom="0.75" header="0.3" footer="0.3"/>
  <tableParts count="4">
    <tablePart r:id="rId1"/>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 Online</Application>
  <Manager/>
  <Company>HP Inc.</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ELVIA LUCIA SANCHEZ GARCIA</dc:creator>
  <cp:keywords/>
  <dc:description/>
  <cp:lastModifiedBy>Elvia Lucía Sánchez García</cp:lastModifiedBy>
  <cp:revision/>
  <dcterms:created xsi:type="dcterms:W3CDTF">2025-03-08T13:23:56Z</dcterms:created>
  <dcterms:modified xsi:type="dcterms:W3CDTF">2025-08-14T13:59:22Z</dcterms:modified>
  <cp:category/>
  <cp:contentStatus/>
</cp:coreProperties>
</file>